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D" state="visible" r:id="rId4"/>
    <sheet sheetId="2" name="Dashboard" state="visible" r:id="rId5"/>
    <sheet sheetId="3" name="Catálogo" state="visible" r:id="rId6"/>
    <sheet sheetId="4" name="Inventario" state="visible" r:id="rId7"/>
    <sheet sheetId="5" name="Recepción Ransa" state="visible" r:id="rId8"/>
    <sheet sheetId="6" name="Producción" state="visible" r:id="rId9"/>
    <sheet sheetId="7" name="Despachos" state="visible" r:id="rId10"/>
    <sheet sheetId="8" name="Movimientos" state="visible" r:id="rId11"/>
    <sheet sheetId="9" name="Ventas" state="visible" r:id="rId12"/>
    <sheet sheetId="10" name="Órdenes" state="visible" r:id="rId13"/>
    <sheet sheetId="11" name="Food Costing" state="visible" r:id="rId14"/>
    <sheet sheetId="12" name="Ajustes Stock" state="visible" r:id="rId15"/>
    <sheet sheetId="13" name="Resumen Bodegas" state="visible" r:id="rId16"/>
    <sheet sheetId="14" name="Resumen Cajas" state="visible" r:id="rId17"/>
  </sheets>
  <calcPr calcId="171027"/>
</workbook>
</file>

<file path=xl/sharedStrings.xml><?xml version="1.0" encoding="utf-8"?>
<sst xmlns="http://schemas.openxmlformats.org/spreadsheetml/2006/main" count="3122" uniqueCount="251">
  <si>
    <t>CATÁLOGO DE PRODUCTOS</t>
  </si>
  <si>
    <t>Código</t>
  </si>
  <si>
    <t>Nombre</t>
  </si>
  <si>
    <t>Categoría</t>
  </si>
  <si>
    <t>$/Lb</t>
  </si>
  <si>
    <t>$/Kg</t>
  </si>
  <si>
    <t>$/Caja</t>
  </si>
  <si>
    <t>Ransa KG</t>
  </si>
  <si>
    <t>B2 Lbs</t>
  </si>
  <si>
    <t>B3 Lbs</t>
  </si>
  <si>
    <t>B4 Lbs</t>
  </si>
  <si>
    <t>Stock Inicial</t>
  </si>
  <si>
    <t>Stock Vendido</t>
  </si>
  <si>
    <t>1618</t>
  </si>
  <si>
    <t>Posta Negra / Nalga de Adentro</t>
  </si>
  <si>
    <t>Cortes</t>
  </si>
  <si>
    <t>1619</t>
  </si>
  <si>
    <t>Cajas Tortuguita</t>
  </si>
  <si>
    <t>1620</t>
  </si>
  <si>
    <t>HUESO DE YUGO / COGOTE CON HUESO</t>
  </si>
  <si>
    <t>1621</t>
  </si>
  <si>
    <t>NEW YORK / BIEF ANGOSTO</t>
  </si>
  <si>
    <t>Prime</t>
  </si>
  <si>
    <t>1622</t>
  </si>
  <si>
    <t>TRIMING 80/20 especial</t>
  </si>
  <si>
    <t>Industrial</t>
  </si>
  <si>
    <t>1623</t>
  </si>
  <si>
    <t>cajas de triming 50/50 popular</t>
  </si>
  <si>
    <t>1624</t>
  </si>
  <si>
    <t>cajas de Aguja/chuck</t>
  </si>
  <si>
    <t>1625</t>
  </si>
  <si>
    <t>ANGELINA / CORAZON DE CUADRIL</t>
  </si>
  <si>
    <t>1626</t>
  </si>
  <si>
    <t>CARNE BOVINA CONGELADA SIN HUESO DELANTERO</t>
  </si>
  <si>
    <t>1627</t>
  </si>
  <si>
    <t>CARNE BOVINA CONGELADA SIN HUESO TAPA CUADRIL / PICAÑA</t>
  </si>
  <si>
    <t>1628</t>
  </si>
  <si>
    <t>CARNE BOVINA CONGELADA SIN HUESO RECORTE DE CARNE 90 VL premium</t>
  </si>
  <si>
    <t/>
  </si>
  <si>
    <t>DESTINOS (AGROS)</t>
  </si>
  <si>
    <t>ID</t>
  </si>
  <si>
    <t>Soyapango - Puesto</t>
  </si>
  <si>
    <t>Usulután - Puesto</t>
  </si>
  <si>
    <t>Agro Quezaltepeque</t>
  </si>
  <si>
    <t>Agro Aguilares</t>
  </si>
  <si>
    <t>Agro Opico</t>
  </si>
  <si>
    <t>MAG (Gobierno)</t>
  </si>
  <si>
    <t>CNR (Gobierno)</t>
  </si>
  <si>
    <t>Relaciones Exteriores (Gobierno)</t>
  </si>
  <si>
    <t>Lomas de San Francisco</t>
  </si>
  <si>
    <t>DISTRIBUCIONES</t>
  </si>
  <si>
    <t>Ransa</t>
  </si>
  <si>
    <t>Central de abasto - Soyapango (Cuarto Frío)</t>
  </si>
  <si>
    <t>Central de abasto - Usulután (Cuarto Frío)</t>
  </si>
  <si>
    <t>ESTADOS ÓRDENES</t>
  </si>
  <si>
    <t>PENDING</t>
  </si>
  <si>
    <t>COMPLETED</t>
  </si>
  <si>
    <t>CANCELLED</t>
  </si>
  <si>
    <t>BODEGAS</t>
  </si>
  <si>
    <t>Ransa (KG)</t>
  </si>
  <si>
    <t>Soyapango (Lbs)</t>
  </si>
  <si>
    <t>Usulután (Lbs)</t>
  </si>
  <si>
    <t>Lomas (Lbs)</t>
  </si>
  <si>
    <t>SISTEMA DE VENTAS E INVENTARIO</t>
  </si>
  <si>
    <t>Panel de Control</t>
  </si>
  <si>
    <t>Productos</t>
  </si>
  <si>
    <t>Inventario Total Lbs</t>
  </si>
  <si>
    <t>Valor Inventario $</t>
  </si>
  <si>
    <t>Cajas Entradas</t>
  </si>
  <si>
    <t>Cajas Salidas</t>
  </si>
  <si>
    <t>Saldo Cajas</t>
  </si>
  <si>
    <t>NAVEGACIÓN</t>
  </si>
  <si>
    <t>INVENTARIO POR CATEGORÍA</t>
  </si>
  <si>
    <t>➤  Catálogo</t>
  </si>
  <si>
    <t>➤  Inventario</t>
  </si>
  <si>
    <t>➤  Recepción Ransa</t>
  </si>
  <si>
    <t>➤  Producción</t>
  </si>
  <si>
    <t>➤  Despachos</t>
  </si>
  <si>
    <t>➤  Movimientos</t>
  </si>
  <si>
    <t>➤  Ventas</t>
  </si>
  <si>
    <t>➤  Órdenes</t>
  </si>
  <si>
    <t>➤  Food Costing</t>
  </si>
  <si>
    <t>➤  Ajustes Stock</t>
  </si>
  <si>
    <t>➤  Resumen Bodegas</t>
  </si>
  <si>
    <t>➤  Resumen Cajas</t>
  </si>
  <si>
    <t>Total Lbs</t>
  </si>
  <si>
    <t>Valor $</t>
  </si>
  <si>
    <t>%</t>
  </si>
  <si>
    <t>⚠️ ALERTAS STOCK BAJO</t>
  </si>
  <si>
    <t>Producto</t>
  </si>
  <si>
    <t>Estado</t>
  </si>
  <si>
    <t>SIN STOCK</t>
  </si>
  <si>
    <t>Catálogo de Productos</t>
  </si>
  <si>
    <t>#</t>
  </si>
  <si>
    <t>Stock Lbs</t>
  </si>
  <si>
    <t>Cajas Entr</t>
  </si>
  <si>
    <t>Cajas Sal</t>
  </si>
  <si>
    <t>Inventario por Bodega</t>
  </si>
  <si>
    <t>B2 Soyapango</t>
  </si>
  <si>
    <t>B3 Usulután</t>
  </si>
  <si>
    <t>B4 Lomas</t>
  </si>
  <si>
    <t>Recepción Ransa</t>
  </si>
  <si>
    <t>Peso Viñeta KG</t>
  </si>
  <si>
    <t>Peso Báscula KG</t>
  </si>
  <si>
    <t>Unid/Caja</t>
  </si>
  <si>
    <t>Distribución</t>
  </si>
  <si>
    <t>Cajas</t>
  </si>
  <si>
    <t>Fecha</t>
  </si>
  <si>
    <t>=IF(D4&lt;&gt;"",D4*2.20462,"")</t>
  </si>
  <si>
    <t>=IF(D5&lt;&gt;"",D5*2.20462,"")</t>
  </si>
  <si>
    <t>=IF(D6&lt;&gt;"",D6*2.20462,"")</t>
  </si>
  <si>
    <t>=IF(D7&lt;&gt;"",D7*2.20462,"")</t>
  </si>
  <si>
    <t>=IF(D8&lt;&gt;"",D8*2.20462,"")</t>
  </si>
  <si>
    <t>=IF(D9&lt;&gt;"",D9*2.20462,"")</t>
  </si>
  <si>
    <t>=IF(D10&lt;&gt;"",D10*2.20462,"")</t>
  </si>
  <si>
    <t>=IF(D11&lt;&gt;"",D11*2.20462,"")</t>
  </si>
  <si>
    <t>=IF(D12&lt;&gt;"",D12*2.20462,"")</t>
  </si>
  <si>
    <t>=IF(D13&lt;&gt;"",D13*2.20462,"")</t>
  </si>
  <si>
    <t>=IF(D14&lt;&gt;"",D14*2.20462,"")</t>
  </si>
  <si>
    <t>=IF(D15&lt;&gt;"",D15*2.20462,"")</t>
  </si>
  <si>
    <t>=IF(D16&lt;&gt;"",D16*2.20462,"")</t>
  </si>
  <si>
    <t>=IF(D17&lt;&gt;"",D17*2.20462,"")</t>
  </si>
  <si>
    <t>=IF(D18&lt;&gt;"",D18*2.20462,"")</t>
  </si>
  <si>
    <t>=IF(D19&lt;&gt;"",D19*2.20462,"")</t>
  </si>
  <si>
    <t>=IF(D20&lt;&gt;"",D20*2.20462,"")</t>
  </si>
  <si>
    <t>=IF(D21&lt;&gt;"",D21*2.20462,"")</t>
  </si>
  <si>
    <t>=IF(D22&lt;&gt;"",D22*2.20462,"")</t>
  </si>
  <si>
    <t>=IF(D23&lt;&gt;"",D23*2.20462,"")</t>
  </si>
  <si>
    <t>=IF(D24&lt;&gt;"",D24*2.20462,"")</t>
  </si>
  <si>
    <t>=IF(D25&lt;&gt;"",D25*2.20462,"")</t>
  </si>
  <si>
    <t>=IF(D26&lt;&gt;"",D26*2.20462,"")</t>
  </si>
  <si>
    <t>=IF(D27&lt;&gt;"",D27*2.20462,"")</t>
  </si>
  <si>
    <t>=IF(D28&lt;&gt;"",D28*2.20462,"")</t>
  </si>
  <si>
    <t>=IF(D29&lt;&gt;"",D29*2.20462,"")</t>
  </si>
  <si>
    <t>=IF(D30&lt;&gt;"",D30*2.20462,"")</t>
  </si>
  <si>
    <t>=IF(D31&lt;&gt;"",D31*2.20462,"")</t>
  </si>
  <si>
    <t>=IF(D32&lt;&gt;"",D32*2.20462,"")</t>
  </si>
  <si>
    <t>=IF(D33&lt;&gt;"",D33*2.20462,"")</t>
  </si>
  <si>
    <t>=IF(D34&lt;&gt;"",D34*2.20462,"")</t>
  </si>
  <si>
    <t>=IF(D35&lt;&gt;"",D35*2.20462,"")</t>
  </si>
  <si>
    <t>=IF(D36&lt;&gt;"",D36*2.20462,"")</t>
  </si>
  <si>
    <t>=IF(D37&lt;&gt;"",D37*2.20462,"")</t>
  </si>
  <si>
    <t>=IF(D38&lt;&gt;"",D38*2.20462,"")</t>
  </si>
  <si>
    <t>=IF(D39&lt;&gt;"",D39*2.20462,"")</t>
  </si>
  <si>
    <t>=IF(D40&lt;&gt;"",D40*2.20462,"")</t>
  </si>
  <si>
    <t>=IF(D41&lt;&gt;"",D41*2.20462,"")</t>
  </si>
  <si>
    <t>=IF(D42&lt;&gt;"",D42*2.20462,"")</t>
  </si>
  <si>
    <t>=IF(D43&lt;&gt;"",D43*2.20462,"")</t>
  </si>
  <si>
    <t>=IF(D44&lt;&gt;"",D44*2.20462,"")</t>
  </si>
  <si>
    <t>=IF(D45&lt;&gt;"",D45*2.20462,"")</t>
  </si>
  <si>
    <t>=IF(D46&lt;&gt;"",D46*2.20462,"")</t>
  </si>
  <si>
    <t>=IF(D47&lt;&gt;"",D47*2.20462,"")</t>
  </si>
  <si>
    <t>=IF(D48&lt;&gt;"",D48*2.20462,"")</t>
  </si>
  <si>
    <t>=IF(D49&lt;&gt;"",D49*2.20462,"")</t>
  </si>
  <si>
    <t>=IF(D50&lt;&gt;"",D50*2.20462,"")</t>
  </si>
  <si>
    <t>=IF(D51&lt;&gt;"",D51*2.20462,"")</t>
  </si>
  <si>
    <t>=IF(D52&lt;&gt;"",D52*2.20462,"")</t>
  </si>
  <si>
    <t>=IF(D53&lt;&gt;"",D53*2.20462,"")</t>
  </si>
  <si>
    <t>Registro de Producción</t>
  </si>
  <si>
    <t>Peso Inicial KG</t>
  </si>
  <si>
    <t>Peso Corte Lbs</t>
  </si>
  <si>
    <t>Merma Lbs</t>
  </si>
  <si>
    <t>Almacenaje $</t>
  </si>
  <si>
    <t>Transporte $</t>
  </si>
  <si>
    <t>Mano Obra $</t>
  </si>
  <si>
    <t>Otros $</t>
  </si>
  <si>
    <t>Destino</t>
  </si>
  <si>
    <t>Rendimiento %</t>
  </si>
  <si>
    <t>=IF(D4&lt;&gt;"",D4/(C4*2.20462)*100,"")</t>
  </si>
  <si>
    <t>=IF(D5&lt;&gt;"",D5/(C5*2.20462)*100,"")</t>
  </si>
  <si>
    <t>=IF(D6&lt;&gt;"",D6/(C6*2.20462)*100,"")</t>
  </si>
  <si>
    <t>=IF(D7&lt;&gt;"",D7/(C7*2.20462)*100,"")</t>
  </si>
  <si>
    <t>=IF(D8&lt;&gt;"",D8/(C8*2.20462)*100,"")</t>
  </si>
  <si>
    <t>=IF(D9&lt;&gt;"",D9/(C9*2.20462)*100,"")</t>
  </si>
  <si>
    <t>=IF(D10&lt;&gt;"",D10/(C10*2.20462)*100,"")</t>
  </si>
  <si>
    <t>=IF(D11&lt;&gt;"",D11/(C11*2.20462)*100,"")</t>
  </si>
  <si>
    <t>=IF(D12&lt;&gt;"",D12/(C12*2.20462)*100,"")</t>
  </si>
  <si>
    <t>=IF(D13&lt;&gt;"",D13/(C13*2.20462)*100,"")</t>
  </si>
  <si>
    <t>=IF(D14&lt;&gt;"",D14/(C14*2.20462)*100,"")</t>
  </si>
  <si>
    <t>=IF(D15&lt;&gt;"",D15/(C15*2.20462)*100,"")</t>
  </si>
  <si>
    <t>=IF(D16&lt;&gt;"",D16/(C16*2.20462)*100,"")</t>
  </si>
  <si>
    <t>=IF(D17&lt;&gt;"",D17/(C17*2.20462)*100,"")</t>
  </si>
  <si>
    <t>=IF(D18&lt;&gt;"",D18/(C18*2.20462)*100,"")</t>
  </si>
  <si>
    <t>=IF(D19&lt;&gt;"",D19/(C19*2.20462)*100,"")</t>
  </si>
  <si>
    <t>=IF(D20&lt;&gt;"",D20/(C20*2.20462)*100,"")</t>
  </si>
  <si>
    <t>=IF(D21&lt;&gt;"",D21/(C21*2.20462)*100,"")</t>
  </si>
  <si>
    <t>=IF(D22&lt;&gt;"",D22/(C22*2.20462)*100,"")</t>
  </si>
  <si>
    <t>=IF(D23&lt;&gt;"",D23/(C23*2.20462)*100,"")</t>
  </si>
  <si>
    <t>=IF(D24&lt;&gt;"",D24/(C24*2.20462)*100,"")</t>
  </si>
  <si>
    <t>=IF(D25&lt;&gt;"",D25/(C25*2.20462)*100,"")</t>
  </si>
  <si>
    <t>=IF(D26&lt;&gt;"",D26/(C26*2.20462)*100,"")</t>
  </si>
  <si>
    <t>=IF(D27&lt;&gt;"",D27/(C27*2.20462)*100,"")</t>
  </si>
  <si>
    <t>=IF(D28&lt;&gt;"",D28/(C28*2.20462)*100,"")</t>
  </si>
  <si>
    <t>=IF(D29&lt;&gt;"",D29/(C29*2.20462)*100,"")</t>
  </si>
  <si>
    <t>=IF(D30&lt;&gt;"",D30/(C30*2.20462)*100,"")</t>
  </si>
  <si>
    <t>=IF(D31&lt;&gt;"",D31/(C31*2.20462)*100,"")</t>
  </si>
  <si>
    <t>=IF(D32&lt;&gt;"",D32/(C32*2.20462)*100,"")</t>
  </si>
  <si>
    <t>=IF(D33&lt;&gt;"",D33/(C33*2.20462)*100,"")</t>
  </si>
  <si>
    <t>=IF(D34&lt;&gt;"",D34/(C34*2.20462)*100,"")</t>
  </si>
  <si>
    <t>=IF(D35&lt;&gt;"",D35/(C35*2.20462)*100,"")</t>
  </si>
  <si>
    <t>=IF(D36&lt;&gt;"",D36/(C36*2.20462)*100,"")</t>
  </si>
  <si>
    <t>=IF(D37&lt;&gt;"",D37/(C37*2.20462)*100,"")</t>
  </si>
  <si>
    <t>=IF(D38&lt;&gt;"",D38/(C38*2.20462)*100,"")</t>
  </si>
  <si>
    <t>=IF(D39&lt;&gt;"",D39/(C39*2.20462)*100,"")</t>
  </si>
  <si>
    <t>=IF(D40&lt;&gt;"",D40/(C40*2.20462)*100,"")</t>
  </si>
  <si>
    <t>=IF(D41&lt;&gt;"",D41/(C41*2.20462)*100,"")</t>
  </si>
  <si>
    <t>=IF(D42&lt;&gt;"",D42/(C42*2.20462)*100,"")</t>
  </si>
  <si>
    <t>=IF(D43&lt;&gt;"",D43/(C43*2.20462)*100,"")</t>
  </si>
  <si>
    <t>=IF(D44&lt;&gt;"",D44/(C44*2.20462)*100,"")</t>
  </si>
  <si>
    <t>=IF(D45&lt;&gt;"",D45/(C45*2.20462)*100,"")</t>
  </si>
  <si>
    <t>=IF(D46&lt;&gt;"",D46/(C46*2.20462)*100,"")</t>
  </si>
  <si>
    <t>=IF(D47&lt;&gt;"",D47/(C47*2.20462)*100,"")</t>
  </si>
  <si>
    <t>=IF(D48&lt;&gt;"",D48/(C48*2.20462)*100,"")</t>
  </si>
  <si>
    <t>=IF(D49&lt;&gt;"",D49/(C49*2.20462)*100,"")</t>
  </si>
  <si>
    <t>=IF(D50&lt;&gt;"",D50/(C50*2.20462)*100,"")</t>
  </si>
  <si>
    <t>=IF(D51&lt;&gt;"",D51/(C51*2.20462)*100,"")</t>
  </si>
  <si>
    <t>=IF(D52&lt;&gt;"",D52/(C52*2.20462)*100,"")</t>
  </si>
  <si>
    <t>=IF(D53&lt;&gt;"",D53/(C53*2.20462)*100,"")</t>
  </si>
  <si>
    <t>Registro de Despachos</t>
  </si>
  <si>
    <t>Agro/Destino</t>
  </si>
  <si>
    <t>Peso</t>
  </si>
  <si>
    <t>Unidad</t>
  </si>
  <si>
    <t>Dto %</t>
  </si>
  <si>
    <t>Origen</t>
  </si>
  <si>
    <t>Transferencias entre Bodegas</t>
  </si>
  <si>
    <t>Tipo</t>
  </si>
  <si>
    <t>Peso Orig</t>
  </si>
  <si>
    <t>Peso Dest</t>
  </si>
  <si>
    <t>Registro de Ventas</t>
  </si>
  <si>
    <t>Monto Recibido $</t>
  </si>
  <si>
    <t>Órdenes de Producto</t>
  </si>
  <si>
    <t>Cant Solicitada</t>
  </si>
  <si>
    <t>Costeo de Lotes de Comida</t>
  </si>
  <si>
    <t>Evento</t>
  </si>
  <si>
    <t>Detalles</t>
  </si>
  <si>
    <t>Peso Bruto Lbs</t>
  </si>
  <si>
    <t>Costo Bruto $</t>
  </si>
  <si>
    <t>Peso Cocido Lbs</t>
  </si>
  <si>
    <t>Ajustes de Inventario</t>
  </si>
  <si>
    <t>Bodega</t>
  </si>
  <si>
    <t>Cambio Peso</t>
  </si>
  <si>
    <t>Cambio Cajas</t>
  </si>
  <si>
    <t>Modo</t>
  </si>
  <si>
    <t>Resumen por Bodega (todo en Lbs)</t>
  </si>
  <si>
    <t>Ransa (→Lbs)</t>
  </si>
  <si>
    <t>TOTAL Lbs</t>
  </si>
  <si>
    <t>TOTAL</t>
  </si>
  <si>
    <t>Control de Cajas</t>
  </si>
  <si>
    <t>Entradas</t>
  </si>
  <si>
    <t>Salidas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</si>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</sst>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&quot;%&quot;"/>
  </numFmts>
  <fonts count="14" x14ac:knownFonts="1">
    <font>
      <color theme="1"/>
      <family val="2"/>
      <scheme val="minor"/>
      <sz val="11"/>
      <name val="Calibri"/>
    </font>
    <font>
      <b/>
      <color rgb="FF1F4E79"/>
      <sz val="14"/>
      <name val="Calibri"/>
    </font>
    <font>
      <b/>
      <color rgb="FFFFFFFF"/>
      <sz val="11"/>
      <name val="Calibri"/>
    </font>
    <font>
      <sz val="10"/>
      <name val="Calibri"/>
    </font>
    <font>
      <b/>
      <color rgb="FF1F4E79"/>
      <sz val="12"/>
      <name val="Calibri"/>
    </font>
    <font>
      <b/>
      <color rgb="FF1F4E79"/>
      <sz val="11"/>
      <name val="Calibri"/>
    </font>
    <font>
      <b/>
      <color rgb="FF1F4E79"/>
      <sz val="16"/>
      <name val="Calibri"/>
    </font>
    <font>
      <i/>
      <color rgb="FF666666"/>
      <sz val="10"/>
      <name val="Calibri"/>
    </font>
    <font>
      <b/>
      <color rgb="FF1F4E79"/>
      <sz val="10"/>
      <name val="Calibri"/>
    </font>
    <font>
      <b/>
      <color rgb="FFFFFFFF"/>
      <sz val="22"/>
      <name val="Calibri"/>
    </font>
    <font>
      <color rgb="FF0563C1"/>
      <sz val="11"/>
      <name val="Calibri"/>
    </font>
    <font>
      <b/>
      <color rgb="FFCC0000"/>
      <sz val="12"/>
      <name val="Calibri"/>
    </font>
    <font>
      <b/>
      <color rgb="FF2E75B6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D6E4F0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bottom"/>
    </xf>
    <xf numFmtId="3" fontId="9" fillId="4" borderId="2" xfId="0" applyNumberFormat="1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0" fontId="10" fillId="0" borderId="0" xfId="0" applyFont="1"/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left"/>
    </xf>
    <xf numFmtId="0" fontId="11" fillId="0" borderId="0" xfId="0" applyFont="1"/>
    <xf numFmtId="0" fontId="3" fillId="5" borderId="1" xfId="0" applyFont="1" applyFill="1" applyBorder="1" applyAlignment="1">
      <alignment horizontal="right"/>
    </xf>
    <xf numFmtId="4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3" fillId="5" borderId="1" xfId="0" applyNumberFormat="1" applyFont="1" applyFill="1" applyBorder="1" applyAlignment="1">
      <alignment horizontal="right"/>
    </xf>
    <xf numFmtId="4" fontId="12" fillId="0" borderId="1" xfId="0" applyNumberFormat="1" applyFont="1" applyBorder="1" applyAlignment="1">
      <alignment horizontal="left"/>
    </xf>
    <xf numFmtId="4" fontId="12" fillId="3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0" fontId="13" fillId="6" borderId="1" xfId="0" applyFont="1" applyFill="1" applyBorder="1" applyAlignment="1">
      <alignment horizontal="right"/>
    </xf>
    <xf numFmtId="4" fontId="13" fillId="6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left"/>
    </xf>
    <xf numFmtId="3" fontId="3" fillId="7" borderId="1" xfId="0" applyNumberFormat="1" applyFont="1" applyFill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164" fontId="13" fillId="6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Cat&#225;logo!A1" TargetMode="External"/><Relationship Id="rId2" Type="http://schemas.openxmlformats.org/officeDocument/2006/relationships/hyperlink" Target="#Inventario!A1" TargetMode="External"/><Relationship Id="rId3" Type="http://schemas.openxmlformats.org/officeDocument/2006/relationships/hyperlink" Target="#Recepci&#243;n Ransa!A1" TargetMode="External"/><Relationship Id="rId4" Type="http://schemas.openxmlformats.org/officeDocument/2006/relationships/hyperlink" Target="#Producci&#243;n!A1" TargetMode="External"/><Relationship Id="rId5" Type="http://schemas.openxmlformats.org/officeDocument/2006/relationships/hyperlink" Target="#Despachos!A1" TargetMode="External"/><Relationship Id="rId6" Type="http://schemas.openxmlformats.org/officeDocument/2006/relationships/hyperlink" Target="#Movimientos!A1" TargetMode="External"/><Relationship Id="rId7" Type="http://schemas.openxmlformats.org/officeDocument/2006/relationships/hyperlink" Target="#Ventas!A1" TargetMode="External"/><Relationship Id="rId8" Type="http://schemas.openxmlformats.org/officeDocument/2006/relationships/hyperlink" Target="#&#211;rdenes!A1" TargetMode="External"/><Relationship Id="rId9" Type="http://schemas.openxmlformats.org/officeDocument/2006/relationships/hyperlink" Target="#Food Costing!A1" TargetMode="External"/><Relationship Id="rId10" Type="http://schemas.openxmlformats.org/officeDocument/2006/relationships/hyperlink" Target="#Ajustes Stock!A1" TargetMode="External"/><Relationship Id="rId11" Type="http://schemas.openxmlformats.org/officeDocument/2006/relationships/hyperlink" Target="#Resumen Bodegas!A1" TargetMode="External"/><Relationship Id="rId12" Type="http://schemas.openxmlformats.org/officeDocument/2006/relationships/hyperlink" Target="#Resumen Cajas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18" customWidth="1"/>
    <col min="2" max="2" width="50" customWidth="1"/>
    <col min="3" max="3" width="14" customWidth="1"/>
    <col min="4" max="6" width="13" customWidth="1"/>
    <col min="7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3" t="s">
        <v>14</v>
      </c>
      <c r="C3" s="4" t="s">
        <v>15</v>
      </c>
      <c r="D3" s="4">
        <v>4.25</v>
      </c>
      <c r="E3" s="4">
        <v>9.37</v>
      </c>
      <c r="F3" s="4">
        <v>85</v>
      </c>
      <c r="G3" s="4">
        <v>0</v>
      </c>
      <c r="H3" s="4">
        <v>661.39</v>
      </c>
      <c r="I3" s="4">
        <v>0</v>
      </c>
      <c r="J3" s="4">
        <v>0</v>
      </c>
      <c r="K3" s="4">
        <v>45.15</v>
      </c>
      <c r="L3" s="3">
        <v>0</v>
      </c>
    </row>
    <row r="4" spans="1:12" x14ac:dyDescent="0.25">
      <c r="A4" s="5" t="s">
        <v>16</v>
      </c>
      <c r="B4" s="5" t="s">
        <v>17</v>
      </c>
      <c r="C4" s="6" t="s">
        <v>15</v>
      </c>
      <c r="D4" s="6">
        <v>4.65</v>
      </c>
      <c r="E4" s="6">
        <v>10.25</v>
      </c>
      <c r="F4" s="6">
        <v>90</v>
      </c>
      <c r="G4" s="6">
        <v>0</v>
      </c>
      <c r="H4" s="6">
        <v>661.39</v>
      </c>
      <c r="I4" s="6">
        <v>0</v>
      </c>
      <c r="J4" s="6">
        <v>0</v>
      </c>
      <c r="K4" s="6">
        <v>19.8</v>
      </c>
      <c r="L4" s="5">
        <v>0</v>
      </c>
    </row>
    <row r="5" spans="1:12" x14ac:dyDescent="0.25">
      <c r="A5" s="3" t="s">
        <v>18</v>
      </c>
      <c r="B5" s="3" t="s">
        <v>19</v>
      </c>
      <c r="C5" s="4" t="s">
        <v>15</v>
      </c>
      <c r="D5" s="4">
        <v>2</v>
      </c>
      <c r="E5" s="4">
        <v>4.41</v>
      </c>
      <c r="F5" s="4">
        <v>40</v>
      </c>
      <c r="G5" s="4">
        <v>0</v>
      </c>
      <c r="H5" s="4">
        <v>661.39</v>
      </c>
      <c r="I5" s="4">
        <v>0</v>
      </c>
      <c r="J5" s="4">
        <v>0</v>
      </c>
      <c r="K5" s="4">
        <v>38.89</v>
      </c>
      <c r="L5" s="3">
        <v>0</v>
      </c>
    </row>
    <row r="6" spans="1:12" x14ac:dyDescent="0.25">
      <c r="A6" s="5" t="s">
        <v>20</v>
      </c>
      <c r="B6" s="5" t="s">
        <v>21</v>
      </c>
      <c r="C6" s="6" t="s">
        <v>22</v>
      </c>
      <c r="D6" s="6">
        <v>6.75</v>
      </c>
      <c r="E6" s="6">
        <v>14.88</v>
      </c>
      <c r="F6" s="6">
        <v>130</v>
      </c>
      <c r="G6" s="6">
        <v>0</v>
      </c>
      <c r="H6" s="6">
        <v>661.39</v>
      </c>
      <c r="I6" s="6">
        <v>0</v>
      </c>
      <c r="J6" s="6">
        <v>0</v>
      </c>
      <c r="K6" s="6">
        <v>0</v>
      </c>
      <c r="L6" s="5">
        <v>0</v>
      </c>
    </row>
    <row r="7" spans="1:12" x14ac:dyDescent="0.25">
      <c r="A7" s="3" t="s">
        <v>23</v>
      </c>
      <c r="B7" s="3" t="s">
        <v>24</v>
      </c>
      <c r="C7" s="4" t="s">
        <v>25</v>
      </c>
      <c r="D7" s="4">
        <v>3.1</v>
      </c>
      <c r="E7" s="4">
        <v>6.83</v>
      </c>
      <c r="F7" s="4">
        <v>60</v>
      </c>
      <c r="G7" s="4">
        <v>0</v>
      </c>
      <c r="H7" s="4">
        <v>661.39</v>
      </c>
      <c r="I7" s="4">
        <v>0</v>
      </c>
      <c r="J7" s="4">
        <v>0</v>
      </c>
      <c r="K7" s="4">
        <v>0</v>
      </c>
      <c r="L7" s="3">
        <v>0</v>
      </c>
    </row>
    <row r="8" spans="1:12" x14ac:dyDescent="0.25">
      <c r="A8" s="5" t="s">
        <v>26</v>
      </c>
      <c r="B8" s="5" t="s">
        <v>27</v>
      </c>
      <c r="C8" s="6" t="s">
        <v>25</v>
      </c>
      <c r="D8" s="6">
        <v>2.75</v>
      </c>
      <c r="E8" s="6">
        <v>6.06</v>
      </c>
      <c r="F8" s="6">
        <v>55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5">
        <v>0</v>
      </c>
    </row>
    <row r="9" spans="1:12" x14ac:dyDescent="0.25">
      <c r="A9" s="3" t="s">
        <v>28</v>
      </c>
      <c r="B9" s="3" t="s">
        <v>29</v>
      </c>
      <c r="C9" s="4" t="s">
        <v>15</v>
      </c>
      <c r="D9" s="4">
        <v>4.25</v>
      </c>
      <c r="E9" s="4">
        <v>9.37</v>
      </c>
      <c r="F9" s="4">
        <v>85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3">
        <v>0</v>
      </c>
    </row>
    <row r="10" spans="1:12" x14ac:dyDescent="0.25">
      <c r="A10" s="5" t="s">
        <v>30</v>
      </c>
      <c r="B10" s="5" t="s">
        <v>31</v>
      </c>
      <c r="C10" s="6" t="s">
        <v>15</v>
      </c>
      <c r="D10" s="6">
        <v>4.75</v>
      </c>
      <c r="E10" s="6">
        <v>10.47</v>
      </c>
      <c r="F10" s="6">
        <v>95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5">
        <v>0</v>
      </c>
    </row>
    <row r="11" spans="1:12" x14ac:dyDescent="0.25">
      <c r="A11" s="3" t="s">
        <v>32</v>
      </c>
      <c r="B11" s="3" t="s">
        <v>33</v>
      </c>
      <c r="C11" s="4" t="s">
        <v>15</v>
      </c>
      <c r="D11" s="4">
        <v>3.95</v>
      </c>
      <c r="E11" s="4">
        <v>8.71</v>
      </c>
      <c r="F11" s="4">
        <v>75</v>
      </c>
      <c r="G11" s="4">
        <v>0</v>
      </c>
      <c r="H11" s="4">
        <v>0</v>
      </c>
      <c r="I11" s="4">
        <v>0</v>
      </c>
      <c r="J11" s="4">
        <v>0</v>
      </c>
      <c r="K11" s="4">
        <v>110.21</v>
      </c>
      <c r="L11" s="3">
        <v>0</v>
      </c>
    </row>
    <row r="12" spans="1:12" x14ac:dyDescent="0.25">
      <c r="A12" s="5" t="s">
        <v>34</v>
      </c>
      <c r="B12" s="5" t="s">
        <v>35</v>
      </c>
      <c r="C12" s="6" t="s">
        <v>22</v>
      </c>
      <c r="D12" s="6">
        <v>9.2</v>
      </c>
      <c r="E12" s="6">
        <v>20.28</v>
      </c>
      <c r="F12" s="6">
        <v>180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5">
        <v>0</v>
      </c>
    </row>
    <row r="13" spans="1:12" x14ac:dyDescent="0.25">
      <c r="A13" s="3" t="s">
        <v>36</v>
      </c>
      <c r="B13" s="3" t="s">
        <v>37</v>
      </c>
      <c r="C13" s="4" t="s">
        <v>25</v>
      </c>
      <c r="D13" s="4">
        <v>4.65</v>
      </c>
      <c r="E13" s="4">
        <v>10.25</v>
      </c>
      <c r="F13" s="4">
        <v>90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3">
        <v>0</v>
      </c>
    </row>
    <row r="14" spans="1:1" x14ac:dyDescent="0.25">
      <c r="A14" t="s">
        <v>38</v>
      </c>
    </row>
    <row r="16" ht="6" customHeight="1" x14ac:dyDescent="0.25"/>
    <row r="17" spans="1:1" x14ac:dyDescent="0.25">
      <c r="A17" s="7" t="s">
        <v>39</v>
      </c>
    </row>
    <row r="18" ht="28" customHeight="1" spans="1:2" x14ac:dyDescent="0.25">
      <c r="A18" s="2" t="s">
        <v>40</v>
      </c>
      <c r="B18" s="2" t="s">
        <v>2</v>
      </c>
    </row>
    <row r="19" spans="1:2" x14ac:dyDescent="0.25">
      <c r="A19" s="3">
        <v>1</v>
      </c>
      <c r="B19" s="3" t="s">
        <v>41</v>
      </c>
    </row>
    <row r="20" spans="1:2" x14ac:dyDescent="0.25">
      <c r="A20" s="5">
        <v>2</v>
      </c>
      <c r="B20" s="5" t="s">
        <v>42</v>
      </c>
    </row>
    <row r="21" spans="1:2" x14ac:dyDescent="0.25">
      <c r="A21" s="3">
        <v>1506</v>
      </c>
      <c r="B21" s="3" t="s">
        <v>43</v>
      </c>
    </row>
    <row r="22" spans="1:2" x14ac:dyDescent="0.25">
      <c r="A22" s="5">
        <v>1507</v>
      </c>
      <c r="B22" s="5" t="s">
        <v>44</v>
      </c>
    </row>
    <row r="23" spans="1:2" x14ac:dyDescent="0.25">
      <c r="A23" s="3">
        <v>1508</v>
      </c>
      <c r="B23" s="3" t="s">
        <v>45</v>
      </c>
    </row>
    <row r="24" spans="1:2" x14ac:dyDescent="0.25">
      <c r="A24" s="5">
        <v>1509</v>
      </c>
      <c r="B24" s="5" t="s">
        <v>46</v>
      </c>
    </row>
    <row r="25" spans="1:2" x14ac:dyDescent="0.25">
      <c r="A25" s="3">
        <v>1510</v>
      </c>
      <c r="B25" s="3" t="s">
        <v>47</v>
      </c>
    </row>
    <row r="26" spans="1:2" x14ac:dyDescent="0.25">
      <c r="A26" s="5">
        <v>1511</v>
      </c>
      <c r="B26" s="5" t="s">
        <v>48</v>
      </c>
    </row>
    <row r="27" spans="1:2" x14ac:dyDescent="0.25">
      <c r="A27" s="3">
        <v>1512</v>
      </c>
      <c r="B27" s="3" t="s">
        <v>49</v>
      </c>
    </row>
    <row r="28" spans="1:1" x14ac:dyDescent="0.25">
      <c r="A28" s="8" t="s">
        <v>50</v>
      </c>
    </row>
    <row r="29" spans="1:1" x14ac:dyDescent="0.25">
      <c r="A29" t="s">
        <v>51</v>
      </c>
    </row>
    <row r="30" spans="1:1" x14ac:dyDescent="0.25">
      <c r="A30" t="s">
        <v>49</v>
      </c>
    </row>
    <row r="31" spans="1:1" x14ac:dyDescent="0.25">
      <c r="A31" t="s">
        <v>52</v>
      </c>
    </row>
    <row r="32" spans="1:1" x14ac:dyDescent="0.25">
      <c r="A32" t="s">
        <v>53</v>
      </c>
    </row>
    <row r="34" spans="1:1" x14ac:dyDescent="0.25">
      <c r="A34" s="8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9" spans="1:1" x14ac:dyDescent="0.25">
      <c r="A39" s="8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28" customWidth="1"/>
    <col min="2" max="5" width="18" customWidth="1"/>
    <col min="6" max="6" width="28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spans="1:6" x14ac:dyDescent="0.25">
      <c r="A4" s="11" t="s">
        <v>65</v>
      </c>
      <c r="B4" s="11"/>
      <c r="C4" s="11" t="s">
        <v>66</v>
      </c>
      <c r="D4" s="11"/>
      <c r="E4" s="11" t="s">
        <v>67</v>
      </c>
      <c r="F4" s="11"/>
    </row>
    <row r="5" spans="1:6" x14ac:dyDescent="0.25">
      <c r="A5" s="12">
        <v>11</v>
      </c>
      <c r="B5" s="12"/>
      <c r="C5" s="12">
        <v>3306.95</v>
      </c>
      <c r="D5" s="12"/>
      <c r="E5" s="13">
        <v>13723.842499999999</v>
      </c>
      <c r="F5" s="13"/>
    </row>
    <row r="6" spans="1:6" x14ac:dyDescent="0.25">
      <c r="A6" s="12"/>
      <c r="B6" s="12"/>
      <c r="C6" s="12"/>
      <c r="D6" s="12"/>
      <c r="E6" s="13"/>
      <c r="F6" s="13"/>
    </row>
    <row r="7" spans="1:6" x14ac:dyDescent="0.25">
      <c r="A7" s="11" t="s">
        <v>68</v>
      </c>
      <c r="B7" s="11"/>
      <c r="C7" s="11" t="s">
        <v>69</v>
      </c>
      <c r="D7" s="11"/>
      <c r="E7" s="11" t="s">
        <v>70</v>
      </c>
      <c r="F7" s="11"/>
    </row>
    <row r="8" spans="1:6" x14ac:dyDescent="0.25">
      <c r="A8" s="12">
        <v>1218</v>
      </c>
      <c r="B8" s="12"/>
      <c r="C8" s="12">
        <v>1030</v>
      </c>
      <c r="D8" s="12"/>
      <c r="E8" s="12">
        <v>188</v>
      </c>
      <c r="F8" s="12"/>
    </row>
    <row r="9" spans="1:6" x14ac:dyDescent="0.25">
      <c r="A9" s="12"/>
      <c r="B9" s="12"/>
      <c r="C9" s="12"/>
      <c r="D9" s="12"/>
      <c r="E9" s="12"/>
      <c r="F9" s="12"/>
    </row>
    <row r="11" spans="1:3" x14ac:dyDescent="0.25">
      <c r="A11" s="7" t="s">
        <v>71</v>
      </c>
      <c r="C11" s="7" t="s">
        <v>72</v>
      </c>
    </row>
    <row r="12" spans="1:1" x14ac:dyDescent="0.25">
      <c r="A12" s="14" t="s">
        <v>73</v>
      </c>
    </row>
    <row r="13" spans="1:1" x14ac:dyDescent="0.25">
      <c r="A13" s="14" t="s">
        <v>74</v>
      </c>
    </row>
    <row r="14" spans="1:1" x14ac:dyDescent="0.25">
      <c r="A14" s="14" t="s">
        <v>75</v>
      </c>
    </row>
    <row r="15" spans="1:1" x14ac:dyDescent="0.25">
      <c r="A15" s="14" t="s">
        <v>76</v>
      </c>
    </row>
    <row r="16" spans="1:1" x14ac:dyDescent="0.25">
      <c r="A16" s="14" t="s">
        <v>77</v>
      </c>
    </row>
    <row r="17" spans="1:1" x14ac:dyDescent="0.25">
      <c r="A17" s="14" t="s">
        <v>78</v>
      </c>
    </row>
    <row r="18" spans="1:1" x14ac:dyDescent="0.25">
      <c r="A18" s="14" t="s">
        <v>79</v>
      </c>
    </row>
    <row r="19" spans="1:1" x14ac:dyDescent="0.25">
      <c r="A19" s="14" t="s">
        <v>80</v>
      </c>
    </row>
    <row r="20" spans="1:1" x14ac:dyDescent="0.25">
      <c r="A20" s="14" t="s">
        <v>81</v>
      </c>
    </row>
    <row r="21" spans="1:1" x14ac:dyDescent="0.25">
      <c r="A21" s="14" t="s">
        <v>82</v>
      </c>
    </row>
    <row r="22" spans="1:1" x14ac:dyDescent="0.25">
      <c r="A22" s="14" t="s">
        <v>83</v>
      </c>
    </row>
    <row r="23" spans="1:1" x14ac:dyDescent="0.25">
      <c r="A23" s="14" t="s">
        <v>84</v>
      </c>
    </row>
    <row r="24" ht="28" customHeight="1" spans="1:4" x14ac:dyDescent="0.25">
      <c r="A24" s="2" t="s">
        <v>3</v>
      </c>
      <c r="B24" s="2" t="s">
        <v>85</v>
      </c>
      <c r="C24" s="2" t="s">
        <v>86</v>
      </c>
      <c r="D24" s="2" t="s">
        <v>87</v>
      </c>
    </row>
    <row r="25" spans="1:4" x14ac:dyDescent="0.25">
      <c r="A25" s="4" t="s">
        <v>15</v>
      </c>
      <c r="B25" s="15">
        <v>1984.17</v>
      </c>
      <c r="C25" s="16">
        <v>7209.151</v>
      </c>
      <c r="D25" s="17">
        <v>60.00000000000001</v>
      </c>
    </row>
    <row r="26" spans="1:4" x14ac:dyDescent="0.25">
      <c r="A26" s="4" t="s">
        <v>22</v>
      </c>
      <c r="B26" s="15">
        <v>661.39</v>
      </c>
      <c r="C26" s="16">
        <v>4464.3825</v>
      </c>
      <c r="D26" s="17">
        <v>20</v>
      </c>
    </row>
    <row r="27" spans="1:4" x14ac:dyDescent="0.25">
      <c r="A27" s="4" t="s">
        <v>25</v>
      </c>
      <c r="B27" s="15">
        <v>661.39</v>
      </c>
      <c r="C27" s="16">
        <v>2050.309</v>
      </c>
      <c r="D27" s="17">
        <v>20</v>
      </c>
    </row>
    <row r="29" spans="1:1" x14ac:dyDescent="0.25">
      <c r="A29" s="18" t="s">
        <v>88</v>
      </c>
    </row>
    <row r="30" ht="28" customHeight="1" spans="1:3" x14ac:dyDescent="0.25">
      <c r="A30" s="2" t="s">
        <v>89</v>
      </c>
      <c r="B30" s="2" t="s">
        <v>85</v>
      </c>
      <c r="C30" s="2" t="s">
        <v>90</v>
      </c>
    </row>
    <row r="31" spans="1:3" x14ac:dyDescent="0.25">
      <c r="A31" s="19" t="s">
        <v>27</v>
      </c>
      <c r="B31" s="20">
        <v>0</v>
      </c>
      <c r="C31" s="21" t="s">
        <v>91</v>
      </c>
    </row>
    <row r="32" spans="1:3" x14ac:dyDescent="0.25">
      <c r="A32" s="19" t="s">
        <v>29</v>
      </c>
      <c r="B32" s="20">
        <v>0</v>
      </c>
      <c r="C32" s="21" t="s">
        <v>91</v>
      </c>
    </row>
    <row r="33" spans="1:3" x14ac:dyDescent="0.25">
      <c r="A33" s="19" t="s">
        <v>31</v>
      </c>
      <c r="B33" s="20">
        <v>0</v>
      </c>
      <c r="C33" s="21" t="s">
        <v>91</v>
      </c>
    </row>
    <row r="34" spans="1:3" x14ac:dyDescent="0.25">
      <c r="A34" s="19" t="s">
        <v>33</v>
      </c>
      <c r="B34" s="20">
        <v>0</v>
      </c>
      <c r="C34" s="21" t="s">
        <v>91</v>
      </c>
    </row>
    <row r="35" spans="1:3" x14ac:dyDescent="0.25">
      <c r="A35" s="19" t="s">
        <v>35</v>
      </c>
      <c r="B35" s="20">
        <v>0</v>
      </c>
      <c r="C35" s="21" t="s">
        <v>91</v>
      </c>
    </row>
    <row r="36" spans="1:3" x14ac:dyDescent="0.25">
      <c r="A36" s="19" t="s">
        <v>37</v>
      </c>
      <c r="B36" s="20">
        <v>0</v>
      </c>
      <c r="C36" s="21" t="s">
        <v>91</v>
      </c>
    </row>
  </sheetData>
  <mergeCells count="14">
    <mergeCell ref="A1:L1"/>
    <mergeCell ref="A2:L2"/>
    <mergeCell ref="A4:B4"/>
    <mergeCell ref="C4:D4"/>
    <mergeCell ref="E4:F4"/>
    <mergeCell ref="A5:B6"/>
    <mergeCell ref="C5:D6"/>
    <mergeCell ref="E5:F6"/>
    <mergeCell ref="A7:B7"/>
    <mergeCell ref="C7:D7"/>
    <mergeCell ref="E7:F7"/>
    <mergeCell ref="A8:B9"/>
    <mergeCell ref="C8:D9"/>
    <mergeCell ref="E8:F9"/>
  </mergeCells>
  <hyperlinks>
    <hyperlink ref="A12" r:id="rId1" location="#Catálogo!A1"/>
    <hyperlink ref="A13" r:id="rId2" location="#Inventario!A1"/>
    <hyperlink ref="A14" r:id="rId3" location="#Recepción Ransa!A1"/>
    <hyperlink ref="A15" r:id="rId4" location="#Producción!A1"/>
    <hyperlink ref="A16" r:id="rId5" location="#Despachos!A1"/>
    <hyperlink ref="A17" r:id="rId6" location="#Movimientos!A1"/>
    <hyperlink ref="A18" r:id="rId7" location="#Ventas!A1"/>
    <hyperlink ref="A19" r:id="rId8" location="#Órdenes!A1"/>
    <hyperlink ref="A20" r:id="rId9" location="#Food Costing!A1"/>
    <hyperlink ref="A21" r:id="rId10" location="#Ajustes Stock!A1"/>
    <hyperlink ref="A22" r:id="rId11" location="#Resumen Bodegas!A1"/>
    <hyperlink ref="A23" r:id="rId12" location="#Resumen Cajas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5" customWidth="1"/>
    <col min="2" max="2" width="8" customWidth="1"/>
    <col min="3" max="3" width="50" customWidth="1"/>
    <col min="4" max="4" width="14" customWidth="1"/>
    <col min="5" max="7" width="13" customWidth="1"/>
    <col min="8" max="8" width="14" customWidth="1"/>
    <col min="9" max="9" width="16" customWidth="1"/>
    <col min="10" max="11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11" x14ac:dyDescent="0.25">
      <c r="A4" s="2" t="s">
        <v>93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94</v>
      </c>
      <c r="I4" s="2" t="s">
        <v>86</v>
      </c>
      <c r="J4" s="2" t="s">
        <v>95</v>
      </c>
      <c r="K4" s="2" t="s">
        <v>96</v>
      </c>
    </row>
    <row r="5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16">
        <v>4.25</v>
      </c>
      <c r="F5" s="16">
        <v>9.37</v>
      </c>
      <c r="G5" s="16">
        <v>85</v>
      </c>
      <c r="H5" s="22">
        <v>661.39</v>
      </c>
      <c r="I5" s="16">
        <v>2810.9075</v>
      </c>
      <c r="J5" s="4">
        <v>326</v>
      </c>
      <c r="K5" s="3">
        <v>325</v>
      </c>
    </row>
    <row r="6" spans="1:11" x14ac:dyDescent="0.25">
      <c r="A6" s="5">
        <v>2</v>
      </c>
      <c r="B6" s="5" t="s">
        <v>16</v>
      </c>
      <c r="C6" s="5" t="s">
        <v>17</v>
      </c>
      <c r="D6" s="6" t="s">
        <v>15</v>
      </c>
      <c r="E6" s="23">
        <v>4.65</v>
      </c>
      <c r="F6" s="23">
        <v>10.25</v>
      </c>
      <c r="G6" s="23">
        <v>90</v>
      </c>
      <c r="H6" s="24">
        <v>661.39</v>
      </c>
      <c r="I6" s="23">
        <v>3075.4635000000003</v>
      </c>
      <c r="J6" s="6">
        <v>200</v>
      </c>
      <c r="K6" s="5">
        <v>152</v>
      </c>
    </row>
    <row r="7" spans="1:11" x14ac:dyDescent="0.25">
      <c r="A7" s="3">
        <v>3</v>
      </c>
      <c r="B7" s="3" t="s">
        <v>18</v>
      </c>
      <c r="C7" s="3" t="s">
        <v>19</v>
      </c>
      <c r="D7" s="4" t="s">
        <v>15</v>
      </c>
      <c r="E7" s="16">
        <v>2</v>
      </c>
      <c r="F7" s="16">
        <v>4.41</v>
      </c>
      <c r="G7" s="16">
        <v>40</v>
      </c>
      <c r="H7" s="22">
        <v>661.39</v>
      </c>
      <c r="I7" s="16">
        <v>1322.78</v>
      </c>
      <c r="J7" s="4">
        <v>114</v>
      </c>
      <c r="K7" s="3">
        <v>105</v>
      </c>
    </row>
    <row r="8" spans="1:11" x14ac:dyDescent="0.25">
      <c r="A8" s="5">
        <v>4</v>
      </c>
      <c r="B8" s="5" t="s">
        <v>20</v>
      </c>
      <c r="C8" s="5" t="s">
        <v>21</v>
      </c>
      <c r="D8" s="6" t="s">
        <v>22</v>
      </c>
      <c r="E8" s="23">
        <v>6.75</v>
      </c>
      <c r="F8" s="23">
        <v>14.88</v>
      </c>
      <c r="G8" s="23">
        <v>130</v>
      </c>
      <c r="H8" s="24">
        <v>661.39</v>
      </c>
      <c r="I8" s="23">
        <v>4464.3825</v>
      </c>
      <c r="J8" s="6">
        <v>45</v>
      </c>
      <c r="K8" s="5">
        <v>32</v>
      </c>
    </row>
    <row r="9" spans="1:11" x14ac:dyDescent="0.25">
      <c r="A9" s="3">
        <v>5</v>
      </c>
      <c r="B9" s="3" t="s">
        <v>23</v>
      </c>
      <c r="C9" s="3" t="s">
        <v>24</v>
      </c>
      <c r="D9" s="4" t="s">
        <v>25</v>
      </c>
      <c r="E9" s="16">
        <v>3.1</v>
      </c>
      <c r="F9" s="16">
        <v>6.83</v>
      </c>
      <c r="G9" s="16">
        <v>60</v>
      </c>
      <c r="H9" s="22">
        <v>661.39</v>
      </c>
      <c r="I9" s="16">
        <v>2050.309</v>
      </c>
      <c r="J9" s="4">
        <v>43</v>
      </c>
      <c r="K9" s="3">
        <v>20</v>
      </c>
    </row>
    <row r="10" spans="1:11" x14ac:dyDescent="0.25">
      <c r="A10" s="5">
        <v>6</v>
      </c>
      <c r="B10" s="5" t="s">
        <v>26</v>
      </c>
      <c r="C10" s="5" t="s">
        <v>27</v>
      </c>
      <c r="D10" s="6" t="s">
        <v>25</v>
      </c>
      <c r="E10" s="23">
        <v>2.75</v>
      </c>
      <c r="F10" s="23">
        <v>6.06</v>
      </c>
      <c r="G10" s="23">
        <v>55</v>
      </c>
      <c r="H10" s="25">
        <v>0</v>
      </c>
      <c r="I10" s="23">
        <v>0</v>
      </c>
      <c r="J10" s="6">
        <v>45</v>
      </c>
      <c r="K10" s="5">
        <v>34</v>
      </c>
    </row>
    <row r="11" spans="1:11" x14ac:dyDescent="0.25">
      <c r="A11" s="3">
        <v>7</v>
      </c>
      <c r="B11" s="3" t="s">
        <v>28</v>
      </c>
      <c r="C11" s="3" t="s">
        <v>29</v>
      </c>
      <c r="D11" s="4" t="s">
        <v>15</v>
      </c>
      <c r="E11" s="16">
        <v>4.25</v>
      </c>
      <c r="F11" s="16">
        <v>9.37</v>
      </c>
      <c r="G11" s="16">
        <v>85</v>
      </c>
      <c r="H11" s="25">
        <v>0</v>
      </c>
      <c r="I11" s="16">
        <v>0</v>
      </c>
      <c r="J11" s="4">
        <v>105</v>
      </c>
      <c r="K11" s="3">
        <v>103</v>
      </c>
    </row>
    <row r="12" spans="1:11" x14ac:dyDescent="0.25">
      <c r="A12" s="5">
        <v>8</v>
      </c>
      <c r="B12" s="5" t="s">
        <v>30</v>
      </c>
      <c r="C12" s="5" t="s">
        <v>31</v>
      </c>
      <c r="D12" s="6" t="s">
        <v>15</v>
      </c>
      <c r="E12" s="23">
        <v>4.75</v>
      </c>
      <c r="F12" s="23">
        <v>10.47</v>
      </c>
      <c r="G12" s="23">
        <v>95</v>
      </c>
      <c r="H12" s="25">
        <v>0</v>
      </c>
      <c r="I12" s="23">
        <v>0</v>
      </c>
      <c r="J12" s="6">
        <v>55</v>
      </c>
      <c r="K12" s="5">
        <v>55</v>
      </c>
    </row>
    <row r="13" spans="1:11" x14ac:dyDescent="0.25">
      <c r="A13" s="3">
        <v>9</v>
      </c>
      <c r="B13" s="3" t="s">
        <v>32</v>
      </c>
      <c r="C13" s="3" t="s">
        <v>33</v>
      </c>
      <c r="D13" s="4" t="s">
        <v>15</v>
      </c>
      <c r="E13" s="16">
        <v>3.95</v>
      </c>
      <c r="F13" s="16">
        <v>8.71</v>
      </c>
      <c r="G13" s="16">
        <v>75</v>
      </c>
      <c r="H13" s="25">
        <v>0</v>
      </c>
      <c r="I13" s="16">
        <v>0</v>
      </c>
      <c r="J13" s="4">
        <v>46</v>
      </c>
      <c r="K13" s="3">
        <v>46</v>
      </c>
    </row>
    <row r="14" spans="1:11" x14ac:dyDescent="0.25">
      <c r="A14" s="5">
        <v>10</v>
      </c>
      <c r="B14" s="5" t="s">
        <v>34</v>
      </c>
      <c r="C14" s="5" t="s">
        <v>35</v>
      </c>
      <c r="D14" s="6" t="s">
        <v>22</v>
      </c>
      <c r="E14" s="23">
        <v>9.2</v>
      </c>
      <c r="F14" s="23">
        <v>20.28</v>
      </c>
      <c r="G14" s="23">
        <v>180</v>
      </c>
      <c r="H14" s="25">
        <v>0</v>
      </c>
      <c r="I14" s="23">
        <v>0</v>
      </c>
      <c r="J14" s="6">
        <v>53</v>
      </c>
      <c r="K14" s="5">
        <v>21</v>
      </c>
    </row>
    <row r="15" spans="1:11" x14ac:dyDescent="0.25">
      <c r="A15" s="3">
        <v>11</v>
      </c>
      <c r="B15" s="3" t="s">
        <v>36</v>
      </c>
      <c r="C15" s="3" t="s">
        <v>37</v>
      </c>
      <c r="D15" s="4" t="s">
        <v>25</v>
      </c>
      <c r="E15" s="16">
        <v>4.65</v>
      </c>
      <c r="F15" s="16">
        <v>10.25</v>
      </c>
      <c r="G15" s="16">
        <v>90</v>
      </c>
      <c r="H15" s="25">
        <v>0</v>
      </c>
      <c r="I15" s="16">
        <v>0</v>
      </c>
      <c r="J15" s="4">
        <v>186</v>
      </c>
      <c r="K15" s="3">
        <v>137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5" customWidth="1"/>
    <col min="2" max="2" width="50" customWidth="1"/>
    <col min="3" max="12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97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12" x14ac:dyDescent="0.25">
      <c r="A4" s="2" t="s">
        <v>93</v>
      </c>
      <c r="B4" s="2" t="s">
        <v>89</v>
      </c>
      <c r="C4" s="2" t="s">
        <v>7</v>
      </c>
      <c r="D4" s="2" t="s">
        <v>98</v>
      </c>
      <c r="E4" s="2" t="s">
        <v>99</v>
      </c>
      <c r="F4" s="2" t="s">
        <v>100</v>
      </c>
      <c r="G4" s="2" t="s">
        <v>11</v>
      </c>
      <c r="H4" s="2" t="s">
        <v>12</v>
      </c>
      <c r="I4" s="2" t="s">
        <v>85</v>
      </c>
      <c r="J4" s="2" t="s">
        <v>95</v>
      </c>
      <c r="K4" s="2" t="s">
        <v>96</v>
      </c>
      <c r="L4" s="2" t="s">
        <v>70</v>
      </c>
    </row>
    <row r="5" spans="1:12" x14ac:dyDescent="0.25">
      <c r="A5" s="3">
        <v>1</v>
      </c>
      <c r="B5" s="4" t="s">
        <v>14</v>
      </c>
      <c r="C5" s="4">
        <v>0</v>
      </c>
      <c r="D5" s="4">
        <v>661.39</v>
      </c>
      <c r="E5" s="4">
        <v>0</v>
      </c>
      <c r="F5" s="4">
        <v>0</v>
      </c>
      <c r="G5" s="4">
        <v>45.15</v>
      </c>
      <c r="H5" s="4">
        <v>0</v>
      </c>
      <c r="I5" s="22">
        <v>661.39</v>
      </c>
      <c r="J5" s="4">
        <v>326</v>
      </c>
      <c r="K5" s="4">
        <v>325</v>
      </c>
      <c r="L5" s="3">
        <v>1</v>
      </c>
    </row>
    <row r="6" spans="1:12" x14ac:dyDescent="0.25">
      <c r="A6" s="5">
        <v>2</v>
      </c>
      <c r="B6" s="6" t="s">
        <v>17</v>
      </c>
      <c r="C6" s="6">
        <v>0</v>
      </c>
      <c r="D6" s="6">
        <v>661.39</v>
      </c>
      <c r="E6" s="6">
        <v>0</v>
      </c>
      <c r="F6" s="6">
        <v>0</v>
      </c>
      <c r="G6" s="6">
        <v>19.8</v>
      </c>
      <c r="H6" s="6">
        <v>0</v>
      </c>
      <c r="I6" s="24">
        <v>661.39</v>
      </c>
      <c r="J6" s="6">
        <v>200</v>
      </c>
      <c r="K6" s="6">
        <v>152</v>
      </c>
      <c r="L6" s="5">
        <v>48</v>
      </c>
    </row>
    <row r="7" spans="1:12" x14ac:dyDescent="0.25">
      <c r="A7" s="3">
        <v>3</v>
      </c>
      <c r="B7" s="4" t="s">
        <v>19</v>
      </c>
      <c r="C7" s="4">
        <v>0</v>
      </c>
      <c r="D7" s="4">
        <v>661.39</v>
      </c>
      <c r="E7" s="4">
        <v>0</v>
      </c>
      <c r="F7" s="4">
        <v>0</v>
      </c>
      <c r="G7" s="4">
        <v>38.89</v>
      </c>
      <c r="H7" s="4">
        <v>0</v>
      </c>
      <c r="I7" s="22">
        <v>661.39</v>
      </c>
      <c r="J7" s="4">
        <v>114</v>
      </c>
      <c r="K7" s="4">
        <v>105</v>
      </c>
      <c r="L7" s="3">
        <v>9</v>
      </c>
    </row>
    <row r="8" spans="1:12" x14ac:dyDescent="0.25">
      <c r="A8" s="5">
        <v>4</v>
      </c>
      <c r="B8" s="6" t="s">
        <v>21</v>
      </c>
      <c r="C8" s="6">
        <v>0</v>
      </c>
      <c r="D8" s="6">
        <v>661.39</v>
      </c>
      <c r="E8" s="6">
        <v>0</v>
      </c>
      <c r="F8" s="6">
        <v>0</v>
      </c>
      <c r="G8" s="6">
        <v>0</v>
      </c>
      <c r="H8" s="6">
        <v>0</v>
      </c>
      <c r="I8" s="24">
        <v>661.39</v>
      </c>
      <c r="J8" s="6">
        <v>45</v>
      </c>
      <c r="K8" s="6">
        <v>32</v>
      </c>
      <c r="L8" s="5">
        <v>13</v>
      </c>
    </row>
    <row r="9" spans="1:12" x14ac:dyDescent="0.25">
      <c r="A9" s="3">
        <v>5</v>
      </c>
      <c r="B9" s="4" t="s">
        <v>24</v>
      </c>
      <c r="C9" s="4">
        <v>0</v>
      </c>
      <c r="D9" s="4">
        <v>661.39</v>
      </c>
      <c r="E9" s="4">
        <v>0</v>
      </c>
      <c r="F9" s="4">
        <v>0</v>
      </c>
      <c r="G9" s="4">
        <v>0</v>
      </c>
      <c r="H9" s="4">
        <v>0</v>
      </c>
      <c r="I9" s="22">
        <v>661.39</v>
      </c>
      <c r="J9" s="4">
        <v>43</v>
      </c>
      <c r="K9" s="4">
        <v>20</v>
      </c>
      <c r="L9" s="3">
        <v>23</v>
      </c>
    </row>
    <row r="10" spans="1:12" x14ac:dyDescent="0.25">
      <c r="A10" s="5">
        <v>6</v>
      </c>
      <c r="B10" s="6" t="s">
        <v>27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25">
        <v>0</v>
      </c>
      <c r="J10" s="6">
        <v>45</v>
      </c>
      <c r="K10" s="6">
        <v>34</v>
      </c>
      <c r="L10" s="5">
        <v>11</v>
      </c>
    </row>
    <row r="11" spans="1:12" x14ac:dyDescent="0.25">
      <c r="A11" s="3">
        <v>7</v>
      </c>
      <c r="B11" s="4" t="s">
        <v>29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25">
        <v>0</v>
      </c>
      <c r="J11" s="4">
        <v>105</v>
      </c>
      <c r="K11" s="4">
        <v>103</v>
      </c>
      <c r="L11" s="3">
        <v>2</v>
      </c>
    </row>
    <row r="12" spans="1:12" x14ac:dyDescent="0.25">
      <c r="A12" s="5">
        <v>8</v>
      </c>
      <c r="B12" s="6" t="s">
        <v>31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25">
        <v>0</v>
      </c>
      <c r="J12" s="6">
        <v>55</v>
      </c>
      <c r="K12" s="6">
        <v>55</v>
      </c>
      <c r="L12" s="5">
        <v>0</v>
      </c>
    </row>
    <row r="13" spans="1:12" x14ac:dyDescent="0.25">
      <c r="A13" s="3">
        <v>9</v>
      </c>
      <c r="B13" s="4" t="s">
        <v>33</v>
      </c>
      <c r="C13" s="4">
        <v>0</v>
      </c>
      <c r="D13" s="4">
        <v>0</v>
      </c>
      <c r="E13" s="4">
        <v>0</v>
      </c>
      <c r="F13" s="4">
        <v>0</v>
      </c>
      <c r="G13" s="4">
        <v>110.21</v>
      </c>
      <c r="H13" s="4">
        <v>0</v>
      </c>
      <c r="I13" s="25">
        <v>0</v>
      </c>
      <c r="J13" s="4">
        <v>46</v>
      </c>
      <c r="K13" s="4">
        <v>46</v>
      </c>
      <c r="L13" s="3">
        <v>0</v>
      </c>
    </row>
    <row r="14" spans="1:12" x14ac:dyDescent="0.25">
      <c r="A14" s="5">
        <v>10</v>
      </c>
      <c r="B14" s="6" t="s">
        <v>35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25">
        <v>0</v>
      </c>
      <c r="J14" s="6">
        <v>53</v>
      </c>
      <c r="K14" s="6">
        <v>21</v>
      </c>
      <c r="L14" s="5">
        <v>32</v>
      </c>
    </row>
    <row r="15" spans="1:12" x14ac:dyDescent="0.25">
      <c r="A15" s="3">
        <v>11</v>
      </c>
      <c r="B15" s="4" t="s">
        <v>37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25">
        <v>0</v>
      </c>
      <c r="J15" s="4">
        <v>186</v>
      </c>
      <c r="K15" s="4">
        <v>137</v>
      </c>
      <c r="L15" s="3">
        <v>49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5" width="14" customWidth="1"/>
    <col min="6" max="6" width="30" customWidth="1"/>
    <col min="7" max="9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101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9" x14ac:dyDescent="0.25">
      <c r="A4" s="2" t="s">
        <v>93</v>
      </c>
      <c r="B4" s="2" t="s">
        <v>89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85</v>
      </c>
      <c r="I4" s="2" t="s">
        <v>107</v>
      </c>
    </row>
    <row r="5" spans="1:9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108</v>
      </c>
      <c r="I5" s="3" t="s">
        <v>38</v>
      </c>
    </row>
    <row r="6" spans="1:9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  <c r="H6" s="5" t="s">
        <v>109</v>
      </c>
      <c r="I6" s="5" t="s">
        <v>38</v>
      </c>
    </row>
    <row r="7" spans="1:9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110</v>
      </c>
      <c r="I7" s="3" t="s">
        <v>38</v>
      </c>
    </row>
    <row r="8" spans="1:9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111</v>
      </c>
      <c r="I8" s="5" t="s">
        <v>38</v>
      </c>
    </row>
    <row r="9" spans="1:9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112</v>
      </c>
      <c r="I9" s="3" t="s">
        <v>38</v>
      </c>
    </row>
    <row r="10" spans="1:9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113</v>
      </c>
      <c r="I10" s="5" t="s">
        <v>38</v>
      </c>
    </row>
    <row r="11" spans="1:9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114</v>
      </c>
      <c r="I11" s="3" t="s">
        <v>38</v>
      </c>
    </row>
    <row r="12" spans="1:9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  <c r="H12" s="5" t="s">
        <v>115</v>
      </c>
      <c r="I12" s="5" t="s">
        <v>38</v>
      </c>
    </row>
    <row r="13" spans="1:9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  <c r="H13" s="3" t="s">
        <v>116</v>
      </c>
      <c r="I13" s="3" t="s">
        <v>38</v>
      </c>
    </row>
    <row r="14" spans="1:9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  <c r="H14" s="5" t="s">
        <v>117</v>
      </c>
      <c r="I14" s="5" t="s">
        <v>38</v>
      </c>
    </row>
    <row r="15" spans="1:9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118</v>
      </c>
      <c r="I15" s="3" t="s">
        <v>38</v>
      </c>
    </row>
    <row r="16" spans="1:9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  <c r="H16" s="5" t="s">
        <v>119</v>
      </c>
      <c r="I16" s="5" t="s">
        <v>38</v>
      </c>
    </row>
    <row r="17" spans="1:9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120</v>
      </c>
      <c r="I17" s="3" t="s">
        <v>38</v>
      </c>
    </row>
    <row r="18" spans="1:9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121</v>
      </c>
      <c r="I18" s="5" t="s">
        <v>38</v>
      </c>
    </row>
    <row r="19" spans="1:9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  <c r="H19" s="3" t="s">
        <v>122</v>
      </c>
      <c r="I19" s="3" t="s">
        <v>38</v>
      </c>
    </row>
    <row r="20" spans="1:9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  <c r="H20" s="5" t="s">
        <v>123</v>
      </c>
      <c r="I20" s="5" t="s">
        <v>38</v>
      </c>
    </row>
    <row r="21" spans="1:9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124</v>
      </c>
      <c r="I21" s="3" t="s">
        <v>38</v>
      </c>
    </row>
    <row r="22" spans="1:9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125</v>
      </c>
      <c r="I22" s="5" t="s">
        <v>38</v>
      </c>
    </row>
    <row r="23" spans="1:9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126</v>
      </c>
      <c r="I23" s="3" t="s">
        <v>38</v>
      </c>
    </row>
    <row r="24" spans="1:9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127</v>
      </c>
      <c r="I24" s="5" t="s">
        <v>38</v>
      </c>
    </row>
    <row r="25" spans="1:9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128</v>
      </c>
      <c r="I25" s="3" t="s">
        <v>38</v>
      </c>
    </row>
    <row r="26" spans="1:9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  <c r="H26" s="5" t="s">
        <v>129</v>
      </c>
      <c r="I26" s="5" t="s">
        <v>38</v>
      </c>
    </row>
    <row r="27" spans="1:9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130</v>
      </c>
      <c r="I27" s="3" t="s">
        <v>38</v>
      </c>
    </row>
    <row r="28" spans="1:9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  <c r="H28" s="5" t="s">
        <v>131</v>
      </c>
      <c r="I28" s="5" t="s">
        <v>38</v>
      </c>
    </row>
    <row r="29" spans="1:9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132</v>
      </c>
      <c r="I29" s="3" t="s">
        <v>38</v>
      </c>
    </row>
    <row r="30" spans="1:9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133</v>
      </c>
      <c r="I30" s="5" t="s">
        <v>38</v>
      </c>
    </row>
    <row r="31" spans="1:9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  <c r="H31" s="3" t="s">
        <v>134</v>
      </c>
      <c r="I31" s="3" t="s">
        <v>38</v>
      </c>
    </row>
    <row r="32" spans="1:9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  <c r="H32" s="5" t="s">
        <v>135</v>
      </c>
      <c r="I32" s="5" t="s">
        <v>38</v>
      </c>
    </row>
    <row r="33" spans="1:9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136</v>
      </c>
      <c r="I33" s="3" t="s">
        <v>38</v>
      </c>
    </row>
    <row r="34" spans="1:9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137</v>
      </c>
      <c r="I34" s="5" t="s">
        <v>38</v>
      </c>
    </row>
    <row r="35" spans="1:9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138</v>
      </c>
      <c r="I35" s="3" t="s">
        <v>38</v>
      </c>
    </row>
    <row r="36" spans="1:9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  <c r="H36" s="5" t="s">
        <v>139</v>
      </c>
      <c r="I36" s="5" t="s">
        <v>38</v>
      </c>
    </row>
    <row r="37" spans="1:9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  <c r="H37" s="3" t="s">
        <v>140</v>
      </c>
      <c r="I37" s="3" t="s">
        <v>38</v>
      </c>
    </row>
    <row r="38" spans="1:9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  <c r="H38" s="5" t="s">
        <v>141</v>
      </c>
      <c r="I38" s="5" t="s">
        <v>38</v>
      </c>
    </row>
    <row r="39" spans="1:9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  <c r="H39" s="3" t="s">
        <v>142</v>
      </c>
      <c r="I39" s="3" t="s">
        <v>38</v>
      </c>
    </row>
    <row r="40" spans="1:9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143</v>
      </c>
      <c r="I40" s="5" t="s">
        <v>38</v>
      </c>
    </row>
    <row r="41" spans="1:9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144</v>
      </c>
      <c r="I41" s="3" t="s">
        <v>38</v>
      </c>
    </row>
    <row r="42" spans="1:9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145</v>
      </c>
      <c r="I42" s="5" t="s">
        <v>38</v>
      </c>
    </row>
    <row r="43" spans="1:9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146</v>
      </c>
      <c r="I43" s="3" t="s">
        <v>38</v>
      </c>
    </row>
    <row r="44" spans="1:9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147</v>
      </c>
      <c r="I44" s="5" t="s">
        <v>38</v>
      </c>
    </row>
    <row r="45" spans="1:9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148</v>
      </c>
      <c r="I45" s="3" t="s">
        <v>38</v>
      </c>
    </row>
    <row r="46" spans="1:9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  <c r="H46" s="5" t="s">
        <v>149</v>
      </c>
      <c r="I46" s="5" t="s">
        <v>38</v>
      </c>
    </row>
    <row r="47" spans="1:9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150</v>
      </c>
      <c r="I47" s="3" t="s">
        <v>38</v>
      </c>
    </row>
    <row r="48" spans="1:9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  <c r="H48" s="5" t="s">
        <v>151</v>
      </c>
      <c r="I48" s="5" t="s">
        <v>38</v>
      </c>
    </row>
    <row r="49" spans="1:9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152</v>
      </c>
      <c r="I49" s="3" t="s">
        <v>38</v>
      </c>
    </row>
    <row r="50" spans="1:9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  <c r="H50" s="5" t="s">
        <v>153</v>
      </c>
      <c r="I50" s="5" t="s">
        <v>38</v>
      </c>
    </row>
    <row r="51" spans="1:9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154</v>
      </c>
      <c r="I51" s="3" t="s">
        <v>38</v>
      </c>
    </row>
    <row r="52" spans="1:9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  <c r="H52" s="5" t="s">
        <v>155</v>
      </c>
      <c r="I52" s="5" t="s">
        <v>38</v>
      </c>
    </row>
    <row r="53" spans="1:9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  <c r="H53" s="3" t="s">
        <v>156</v>
      </c>
      <c r="I53" s="3" t="s">
        <v>38</v>
      </c>
    </row>
    <row r="54" spans="1:9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157</v>
      </c>
      <c r="I54" s="5" t="s">
        <v>38</v>
      </c>
    </row>
  </sheetData>
  <mergeCells count="2">
    <mergeCell ref="A1:L1"/>
    <mergeCell ref="A2:L2"/>
  </mergeCells>
  <dataValidations count="4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  <dataValidation type="list" showErrorMessage="1" errorTitle="Inválido" error="Selecciona un valor" sqref="F10:F53">
      <formula1>BD!$A$29:$A$32</formula1>
    </dataValidation>
    <dataValidation type="list" showErrorMessage="1" errorTitle="Inválido" error="Selecciona un valor" sqref="F4:F53">
      <formula1>BD!$A$29:$A$32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12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158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12" x14ac:dyDescent="0.25">
      <c r="A4" s="2" t="s">
        <v>93</v>
      </c>
      <c r="B4" s="2" t="s">
        <v>89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  <c r="H4" s="2" t="s">
        <v>164</v>
      </c>
      <c r="I4" s="2" t="s">
        <v>165</v>
      </c>
      <c r="J4" s="2" t="s">
        <v>166</v>
      </c>
      <c r="K4" s="2" t="s">
        <v>167</v>
      </c>
      <c r="L4" s="2" t="s">
        <v>107</v>
      </c>
    </row>
    <row r="5" spans="1:12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168</v>
      </c>
      <c r="L5" s="3" t="s">
        <v>38</v>
      </c>
    </row>
    <row r="6" spans="1:12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  <c r="H6" s="5" t="s">
        <v>38</v>
      </c>
      <c r="I6" s="5" t="s">
        <v>38</v>
      </c>
      <c r="J6" s="5" t="s">
        <v>38</v>
      </c>
      <c r="K6" s="5" t="s">
        <v>169</v>
      </c>
      <c r="L6" s="5" t="s">
        <v>38</v>
      </c>
    </row>
    <row r="7" spans="1:12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170</v>
      </c>
      <c r="L7" s="3" t="s">
        <v>38</v>
      </c>
    </row>
    <row r="8" spans="1:12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5" t="s">
        <v>38</v>
      </c>
      <c r="K8" s="5" t="s">
        <v>171</v>
      </c>
      <c r="L8" s="5" t="s">
        <v>38</v>
      </c>
    </row>
    <row r="9" spans="1:12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3" t="s">
        <v>172</v>
      </c>
      <c r="L9" s="3" t="s">
        <v>38</v>
      </c>
    </row>
    <row r="10" spans="1:12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38</v>
      </c>
      <c r="J10" s="5" t="s">
        <v>38</v>
      </c>
      <c r="K10" s="5" t="s">
        <v>173</v>
      </c>
      <c r="L10" s="5" t="s">
        <v>38</v>
      </c>
    </row>
    <row r="11" spans="1:12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174</v>
      </c>
      <c r="L11" s="3" t="s">
        <v>38</v>
      </c>
    </row>
    <row r="12" spans="1:12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  <c r="H12" s="5" t="s">
        <v>38</v>
      </c>
      <c r="I12" s="5" t="s">
        <v>38</v>
      </c>
      <c r="J12" s="5" t="s">
        <v>38</v>
      </c>
      <c r="K12" s="5" t="s">
        <v>175</v>
      </c>
      <c r="L12" s="5" t="s">
        <v>38</v>
      </c>
    </row>
    <row r="13" spans="1:12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  <c r="K13" s="3" t="s">
        <v>176</v>
      </c>
      <c r="L13" s="3" t="s">
        <v>38</v>
      </c>
    </row>
    <row r="14" spans="1:12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  <c r="H14" s="5" t="s">
        <v>38</v>
      </c>
      <c r="I14" s="5" t="s">
        <v>38</v>
      </c>
      <c r="J14" s="5" t="s">
        <v>38</v>
      </c>
      <c r="K14" s="5" t="s">
        <v>177</v>
      </c>
      <c r="L14" s="5" t="s">
        <v>38</v>
      </c>
    </row>
    <row r="15" spans="1:12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  <c r="K15" s="3" t="s">
        <v>178</v>
      </c>
      <c r="L15" s="3" t="s">
        <v>38</v>
      </c>
    </row>
    <row r="16" spans="1:12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  <c r="H16" s="5" t="s">
        <v>38</v>
      </c>
      <c r="I16" s="5" t="s">
        <v>38</v>
      </c>
      <c r="J16" s="5" t="s">
        <v>38</v>
      </c>
      <c r="K16" s="5" t="s">
        <v>179</v>
      </c>
      <c r="L16" s="5" t="s">
        <v>38</v>
      </c>
    </row>
    <row r="17" spans="1:12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  <c r="K17" s="3" t="s">
        <v>180</v>
      </c>
      <c r="L17" s="3" t="s">
        <v>38</v>
      </c>
    </row>
    <row r="18" spans="1:12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38</v>
      </c>
      <c r="I18" s="5" t="s">
        <v>38</v>
      </c>
      <c r="J18" s="5" t="s">
        <v>38</v>
      </c>
      <c r="K18" s="5" t="s">
        <v>181</v>
      </c>
      <c r="L18" s="5" t="s">
        <v>38</v>
      </c>
    </row>
    <row r="19" spans="1:12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  <c r="H19" s="3" t="s">
        <v>38</v>
      </c>
      <c r="I19" s="3" t="s">
        <v>38</v>
      </c>
      <c r="J19" s="3" t="s">
        <v>38</v>
      </c>
      <c r="K19" s="3" t="s">
        <v>182</v>
      </c>
      <c r="L19" s="3" t="s">
        <v>38</v>
      </c>
    </row>
    <row r="20" spans="1:12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  <c r="H20" s="5" t="s">
        <v>38</v>
      </c>
      <c r="I20" s="5" t="s">
        <v>38</v>
      </c>
      <c r="J20" s="5" t="s">
        <v>38</v>
      </c>
      <c r="K20" s="5" t="s">
        <v>183</v>
      </c>
      <c r="L20" s="5" t="s">
        <v>38</v>
      </c>
    </row>
    <row r="21" spans="1:12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184</v>
      </c>
      <c r="L21" s="3" t="s">
        <v>38</v>
      </c>
    </row>
    <row r="22" spans="1:12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 t="s">
        <v>38</v>
      </c>
      <c r="K22" s="5" t="s">
        <v>185</v>
      </c>
      <c r="L22" s="5" t="s">
        <v>38</v>
      </c>
    </row>
    <row r="23" spans="1:12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  <c r="K23" s="3" t="s">
        <v>186</v>
      </c>
      <c r="L23" s="3" t="s">
        <v>38</v>
      </c>
    </row>
    <row r="24" spans="1:12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38</v>
      </c>
      <c r="I24" s="5" t="s">
        <v>38</v>
      </c>
      <c r="J24" s="5" t="s">
        <v>38</v>
      </c>
      <c r="K24" s="5" t="s">
        <v>187</v>
      </c>
      <c r="L24" s="5" t="s">
        <v>38</v>
      </c>
    </row>
    <row r="25" spans="1:12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38</v>
      </c>
      <c r="I25" s="3" t="s">
        <v>38</v>
      </c>
      <c r="J25" s="3" t="s">
        <v>38</v>
      </c>
      <c r="K25" s="3" t="s">
        <v>188</v>
      </c>
      <c r="L25" s="3" t="s">
        <v>38</v>
      </c>
    </row>
    <row r="26" spans="1:12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  <c r="H26" s="5" t="s">
        <v>38</v>
      </c>
      <c r="I26" s="5" t="s">
        <v>38</v>
      </c>
      <c r="J26" s="5" t="s">
        <v>38</v>
      </c>
      <c r="K26" s="5" t="s">
        <v>189</v>
      </c>
      <c r="L26" s="5" t="s">
        <v>38</v>
      </c>
    </row>
    <row r="27" spans="1:12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  <c r="K27" s="3" t="s">
        <v>190</v>
      </c>
      <c r="L27" s="3" t="s">
        <v>38</v>
      </c>
    </row>
    <row r="28" spans="1:12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  <c r="H28" s="5" t="s">
        <v>38</v>
      </c>
      <c r="I28" s="5" t="s">
        <v>38</v>
      </c>
      <c r="J28" s="5" t="s">
        <v>38</v>
      </c>
      <c r="K28" s="5" t="s">
        <v>191</v>
      </c>
      <c r="L28" s="5" t="s">
        <v>38</v>
      </c>
    </row>
    <row r="29" spans="1:12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  <c r="K29" s="3" t="s">
        <v>192</v>
      </c>
      <c r="L29" s="3" t="s">
        <v>38</v>
      </c>
    </row>
    <row r="30" spans="1:12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5" t="s">
        <v>38</v>
      </c>
      <c r="K30" s="5" t="s">
        <v>193</v>
      </c>
      <c r="L30" s="5" t="s">
        <v>38</v>
      </c>
    </row>
    <row r="31" spans="1:12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  <c r="H31" s="3" t="s">
        <v>38</v>
      </c>
      <c r="I31" s="3" t="s">
        <v>38</v>
      </c>
      <c r="J31" s="3" t="s">
        <v>38</v>
      </c>
      <c r="K31" s="3" t="s">
        <v>194</v>
      </c>
      <c r="L31" s="3" t="s">
        <v>38</v>
      </c>
    </row>
    <row r="32" spans="1:12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  <c r="H32" s="5" t="s">
        <v>38</v>
      </c>
      <c r="I32" s="5" t="s">
        <v>38</v>
      </c>
      <c r="J32" s="5" t="s">
        <v>38</v>
      </c>
      <c r="K32" s="5" t="s">
        <v>195</v>
      </c>
      <c r="L32" s="5" t="s">
        <v>38</v>
      </c>
    </row>
    <row r="33" spans="1:12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  <c r="K33" s="3" t="s">
        <v>196</v>
      </c>
      <c r="L33" s="3" t="s">
        <v>38</v>
      </c>
    </row>
    <row r="34" spans="1:12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5" t="s">
        <v>38</v>
      </c>
      <c r="J34" s="5" t="s">
        <v>38</v>
      </c>
      <c r="K34" s="5" t="s">
        <v>197</v>
      </c>
      <c r="L34" s="5" t="s">
        <v>38</v>
      </c>
    </row>
    <row r="35" spans="1:12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  <c r="K35" s="3" t="s">
        <v>198</v>
      </c>
      <c r="L35" s="3" t="s">
        <v>38</v>
      </c>
    </row>
    <row r="36" spans="1:12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  <c r="H36" s="5" t="s">
        <v>38</v>
      </c>
      <c r="I36" s="5" t="s">
        <v>38</v>
      </c>
      <c r="J36" s="5" t="s">
        <v>38</v>
      </c>
      <c r="K36" s="5" t="s">
        <v>199</v>
      </c>
      <c r="L36" s="5" t="s">
        <v>38</v>
      </c>
    </row>
    <row r="37" spans="1:12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  <c r="K37" s="3" t="s">
        <v>200</v>
      </c>
      <c r="L37" s="3" t="s">
        <v>38</v>
      </c>
    </row>
    <row r="38" spans="1:12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  <c r="H38" s="5" t="s">
        <v>38</v>
      </c>
      <c r="I38" s="5" t="s">
        <v>38</v>
      </c>
      <c r="J38" s="5" t="s">
        <v>38</v>
      </c>
      <c r="K38" s="5" t="s">
        <v>201</v>
      </c>
      <c r="L38" s="5" t="s">
        <v>38</v>
      </c>
    </row>
    <row r="39" spans="1:12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  <c r="H39" s="3" t="s">
        <v>38</v>
      </c>
      <c r="I39" s="3" t="s">
        <v>38</v>
      </c>
      <c r="J39" s="3" t="s">
        <v>38</v>
      </c>
      <c r="K39" s="3" t="s">
        <v>202</v>
      </c>
      <c r="L39" s="3" t="s">
        <v>38</v>
      </c>
    </row>
    <row r="40" spans="1:12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203</v>
      </c>
      <c r="L40" s="5" t="s">
        <v>38</v>
      </c>
    </row>
    <row r="41" spans="1:12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204</v>
      </c>
      <c r="L41" s="3" t="s">
        <v>38</v>
      </c>
    </row>
    <row r="42" spans="1:12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  <c r="K42" s="5" t="s">
        <v>205</v>
      </c>
      <c r="L42" s="5" t="s">
        <v>38</v>
      </c>
    </row>
    <row r="43" spans="1:12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206</v>
      </c>
      <c r="L43" s="3" t="s">
        <v>38</v>
      </c>
    </row>
    <row r="44" spans="1:12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  <c r="K44" s="5" t="s">
        <v>207</v>
      </c>
      <c r="L44" s="5" t="s">
        <v>38</v>
      </c>
    </row>
    <row r="45" spans="1:12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208</v>
      </c>
      <c r="L45" s="3" t="s">
        <v>38</v>
      </c>
    </row>
    <row r="46" spans="1:12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  <c r="H46" s="5" t="s">
        <v>38</v>
      </c>
      <c r="I46" s="5" t="s">
        <v>38</v>
      </c>
      <c r="J46" s="5" t="s">
        <v>38</v>
      </c>
      <c r="K46" s="5" t="s">
        <v>209</v>
      </c>
      <c r="L46" s="5" t="s">
        <v>38</v>
      </c>
    </row>
    <row r="47" spans="1:12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210</v>
      </c>
      <c r="L47" s="3" t="s">
        <v>38</v>
      </c>
    </row>
    <row r="48" spans="1:12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  <c r="H48" s="5" t="s">
        <v>38</v>
      </c>
      <c r="I48" s="5" t="s">
        <v>38</v>
      </c>
      <c r="J48" s="5" t="s">
        <v>38</v>
      </c>
      <c r="K48" s="5" t="s">
        <v>211</v>
      </c>
      <c r="L48" s="5" t="s">
        <v>38</v>
      </c>
    </row>
    <row r="49" spans="1:12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38</v>
      </c>
      <c r="J49" s="3" t="s">
        <v>38</v>
      </c>
      <c r="K49" s="3" t="s">
        <v>212</v>
      </c>
      <c r="L49" s="3" t="s">
        <v>38</v>
      </c>
    </row>
    <row r="50" spans="1:12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  <c r="H50" s="5" t="s">
        <v>38</v>
      </c>
      <c r="I50" s="5" t="s">
        <v>38</v>
      </c>
      <c r="J50" s="5" t="s">
        <v>38</v>
      </c>
      <c r="K50" s="5" t="s">
        <v>213</v>
      </c>
      <c r="L50" s="5" t="s">
        <v>38</v>
      </c>
    </row>
    <row r="51" spans="1:12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38</v>
      </c>
      <c r="I51" s="3" t="s">
        <v>38</v>
      </c>
      <c r="J51" s="3" t="s">
        <v>38</v>
      </c>
      <c r="K51" s="3" t="s">
        <v>214</v>
      </c>
      <c r="L51" s="3" t="s">
        <v>38</v>
      </c>
    </row>
    <row r="52" spans="1:12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  <c r="H52" s="5" t="s">
        <v>38</v>
      </c>
      <c r="I52" s="5" t="s">
        <v>38</v>
      </c>
      <c r="J52" s="5" t="s">
        <v>38</v>
      </c>
      <c r="K52" s="5" t="s">
        <v>215</v>
      </c>
      <c r="L52" s="5" t="s">
        <v>38</v>
      </c>
    </row>
    <row r="53" spans="1:12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  <c r="H53" s="3" t="s">
        <v>38</v>
      </c>
      <c r="I53" s="3" t="s">
        <v>38</v>
      </c>
      <c r="J53" s="3" t="s">
        <v>38</v>
      </c>
      <c r="K53" s="3" t="s">
        <v>216</v>
      </c>
      <c r="L53" s="3" t="s">
        <v>38</v>
      </c>
    </row>
    <row r="54" spans="1:12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38</v>
      </c>
      <c r="I54" s="5" t="s">
        <v>38</v>
      </c>
      <c r="J54" s="5" t="s">
        <v>38</v>
      </c>
      <c r="K54" s="5" t="s">
        <v>217</v>
      </c>
      <c r="L54" s="5" t="s">
        <v>38</v>
      </c>
    </row>
  </sheetData>
  <mergeCells count="2">
    <mergeCell ref="A1:L1"/>
    <mergeCell ref="A2:L2"/>
  </mergeCells>
  <dataValidations count="2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3" width="25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  <col min="10" max="10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10" x14ac:dyDescent="0.25">
      <c r="A4" s="2" t="s">
        <v>93</v>
      </c>
      <c r="B4" s="2" t="s">
        <v>89</v>
      </c>
      <c r="C4" s="2" t="s">
        <v>219</v>
      </c>
      <c r="D4" s="2" t="s">
        <v>220</v>
      </c>
      <c r="E4" s="2" t="s">
        <v>221</v>
      </c>
      <c r="F4" s="2" t="s">
        <v>86</v>
      </c>
      <c r="G4" s="2" t="s">
        <v>222</v>
      </c>
      <c r="H4" s="2" t="s">
        <v>223</v>
      </c>
      <c r="I4" s="2" t="s">
        <v>106</v>
      </c>
      <c r="J4" s="2" t="s">
        <v>107</v>
      </c>
    </row>
    <row r="5" spans="1:10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</row>
    <row r="6" spans="1:10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  <c r="H6" s="5" t="s">
        <v>38</v>
      </c>
      <c r="I6" s="5" t="s">
        <v>38</v>
      </c>
      <c r="J6" s="5" t="s">
        <v>38</v>
      </c>
    </row>
    <row r="7" spans="1:10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</row>
    <row r="8" spans="1:10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5" t="s">
        <v>38</v>
      </c>
    </row>
    <row r="9" spans="1:10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</row>
    <row r="10" spans="1:10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38</v>
      </c>
      <c r="J10" s="5" t="s">
        <v>38</v>
      </c>
    </row>
    <row r="11" spans="1:10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</row>
    <row r="12" spans="1:10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  <c r="H12" s="5" t="s">
        <v>38</v>
      </c>
      <c r="I12" s="5" t="s">
        <v>38</v>
      </c>
      <c r="J12" s="5" t="s">
        <v>38</v>
      </c>
    </row>
    <row r="13" spans="1:10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</row>
    <row r="14" spans="1:10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  <c r="H14" s="5" t="s">
        <v>38</v>
      </c>
      <c r="I14" s="5" t="s">
        <v>38</v>
      </c>
      <c r="J14" s="5" t="s">
        <v>38</v>
      </c>
    </row>
    <row r="15" spans="1:10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</row>
    <row r="16" spans="1:10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  <c r="H16" s="5" t="s">
        <v>38</v>
      </c>
      <c r="I16" s="5" t="s">
        <v>38</v>
      </c>
      <c r="J16" s="5" t="s">
        <v>38</v>
      </c>
    </row>
    <row r="17" spans="1:10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</row>
    <row r="18" spans="1:10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38</v>
      </c>
      <c r="I18" s="5" t="s">
        <v>38</v>
      </c>
      <c r="J18" s="5" t="s">
        <v>38</v>
      </c>
    </row>
    <row r="19" spans="1:10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  <c r="H19" s="3" t="s">
        <v>38</v>
      </c>
      <c r="I19" s="3" t="s">
        <v>38</v>
      </c>
      <c r="J19" s="3" t="s">
        <v>38</v>
      </c>
    </row>
    <row r="20" spans="1:10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  <c r="H20" s="5" t="s">
        <v>38</v>
      </c>
      <c r="I20" s="5" t="s">
        <v>38</v>
      </c>
      <c r="J20" s="5" t="s">
        <v>38</v>
      </c>
    </row>
    <row r="21" spans="1:10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</row>
    <row r="22" spans="1:10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 t="s">
        <v>38</v>
      </c>
    </row>
    <row r="23" spans="1:10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</row>
    <row r="24" spans="1:10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38</v>
      </c>
      <c r="I24" s="5" t="s">
        <v>38</v>
      </c>
      <c r="J24" s="5" t="s">
        <v>38</v>
      </c>
    </row>
    <row r="25" spans="1:10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38</v>
      </c>
      <c r="I25" s="3" t="s">
        <v>38</v>
      </c>
      <c r="J25" s="3" t="s">
        <v>38</v>
      </c>
    </row>
    <row r="26" spans="1:10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  <c r="H26" s="5" t="s">
        <v>38</v>
      </c>
      <c r="I26" s="5" t="s">
        <v>38</v>
      </c>
      <c r="J26" s="5" t="s">
        <v>38</v>
      </c>
    </row>
    <row r="27" spans="1:10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</row>
    <row r="28" spans="1:10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  <c r="H28" s="5" t="s">
        <v>38</v>
      </c>
      <c r="I28" s="5" t="s">
        <v>38</v>
      </c>
      <c r="J28" s="5" t="s">
        <v>38</v>
      </c>
    </row>
    <row r="29" spans="1:10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</row>
    <row r="30" spans="1:10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5" t="s">
        <v>38</v>
      </c>
    </row>
    <row r="31" spans="1:10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  <c r="H31" s="3" t="s">
        <v>38</v>
      </c>
      <c r="I31" s="3" t="s">
        <v>38</v>
      </c>
      <c r="J31" s="3" t="s">
        <v>38</v>
      </c>
    </row>
    <row r="32" spans="1:10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  <c r="H32" s="5" t="s">
        <v>38</v>
      </c>
      <c r="I32" s="5" t="s">
        <v>38</v>
      </c>
      <c r="J32" s="5" t="s">
        <v>38</v>
      </c>
    </row>
    <row r="33" spans="1:10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</row>
    <row r="34" spans="1:10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5" t="s">
        <v>38</v>
      </c>
      <c r="J34" s="5" t="s">
        <v>38</v>
      </c>
    </row>
    <row r="35" spans="1:10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</row>
    <row r="36" spans="1:10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  <c r="H36" s="5" t="s">
        <v>38</v>
      </c>
      <c r="I36" s="5" t="s">
        <v>38</v>
      </c>
      <c r="J36" s="5" t="s">
        <v>38</v>
      </c>
    </row>
    <row r="37" spans="1:10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</row>
    <row r="38" spans="1:10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  <c r="H38" s="5" t="s">
        <v>38</v>
      </c>
      <c r="I38" s="5" t="s">
        <v>38</v>
      </c>
      <c r="J38" s="5" t="s">
        <v>38</v>
      </c>
    </row>
    <row r="39" spans="1:10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  <c r="H39" s="3" t="s">
        <v>38</v>
      </c>
      <c r="I39" s="3" t="s">
        <v>38</v>
      </c>
      <c r="J39" s="3" t="s">
        <v>38</v>
      </c>
    </row>
    <row r="40" spans="1:10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</row>
    <row r="41" spans="1:10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</row>
    <row r="42" spans="1:10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</row>
    <row r="43" spans="1:10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</row>
    <row r="44" spans="1:10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</row>
    <row r="45" spans="1:10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</row>
    <row r="46" spans="1:10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  <c r="H46" s="5" t="s">
        <v>38</v>
      </c>
      <c r="I46" s="5" t="s">
        <v>38</v>
      </c>
      <c r="J46" s="5" t="s">
        <v>38</v>
      </c>
    </row>
    <row r="47" spans="1:10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</row>
    <row r="48" spans="1:10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  <c r="H48" s="5" t="s">
        <v>38</v>
      </c>
      <c r="I48" s="5" t="s">
        <v>38</v>
      </c>
      <c r="J48" s="5" t="s">
        <v>38</v>
      </c>
    </row>
    <row r="49" spans="1:10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38</v>
      </c>
      <c r="J49" s="3" t="s">
        <v>38</v>
      </c>
    </row>
    <row r="50" spans="1:10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  <c r="H50" s="5" t="s">
        <v>38</v>
      </c>
      <c r="I50" s="5" t="s">
        <v>38</v>
      </c>
      <c r="J50" s="5" t="s">
        <v>38</v>
      </c>
    </row>
    <row r="51" spans="1:10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38</v>
      </c>
      <c r="I51" s="3" t="s">
        <v>38</v>
      </c>
      <c r="J51" s="3" t="s">
        <v>38</v>
      </c>
    </row>
    <row r="52" spans="1:10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  <c r="H52" s="5" t="s">
        <v>38</v>
      </c>
      <c r="I52" s="5" t="s">
        <v>38</v>
      </c>
      <c r="J52" s="5" t="s">
        <v>38</v>
      </c>
    </row>
    <row r="53" spans="1:10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  <c r="H53" s="3" t="s">
        <v>38</v>
      </c>
      <c r="I53" s="3" t="s">
        <v>38</v>
      </c>
      <c r="J53" s="3" t="s">
        <v>38</v>
      </c>
    </row>
    <row r="54" spans="1:10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38</v>
      </c>
      <c r="I54" s="5" t="s">
        <v>38</v>
      </c>
      <c r="J54" s="5" t="s">
        <v>38</v>
      </c>
    </row>
  </sheetData>
  <mergeCells count="2">
    <mergeCell ref="A1:L1"/>
    <mergeCell ref="A2:L2"/>
  </mergeCells>
  <dataValidations count="4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  <dataValidation type="list" showErrorMessage="1" errorTitle="Inválido" error="Selecciona un valor" sqref="C10:C53">
      <formula1>BD!$B$18:$B$26</formula1>
    </dataValidation>
    <dataValidation type="list" showErrorMessage="1" errorTitle="Inválido" error="Selecciona un valor" sqref="C4:C53">
      <formula1>BD!$B$18:$B$26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4" width="20" customWidth="1"/>
    <col min="5" max="10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10" x14ac:dyDescent="0.25">
      <c r="A4" s="2" t="s">
        <v>93</v>
      </c>
      <c r="B4" s="2" t="s">
        <v>89</v>
      </c>
      <c r="C4" s="2" t="s">
        <v>223</v>
      </c>
      <c r="D4" s="2" t="s">
        <v>166</v>
      </c>
      <c r="E4" s="2" t="s">
        <v>220</v>
      </c>
      <c r="F4" s="2" t="s">
        <v>225</v>
      </c>
      <c r="G4" s="2" t="s">
        <v>226</v>
      </c>
      <c r="H4" s="2" t="s">
        <v>227</v>
      </c>
      <c r="I4" s="2" t="s">
        <v>221</v>
      </c>
      <c r="J4" s="2" t="s">
        <v>107</v>
      </c>
    </row>
    <row r="5" spans="1:10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</row>
    <row r="6" spans="1:10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  <c r="H6" s="5" t="s">
        <v>38</v>
      </c>
      <c r="I6" s="5" t="s">
        <v>38</v>
      </c>
      <c r="J6" s="5" t="s">
        <v>38</v>
      </c>
    </row>
    <row r="7" spans="1:10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</row>
    <row r="8" spans="1:10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5" t="s">
        <v>38</v>
      </c>
    </row>
    <row r="9" spans="1:10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</row>
    <row r="10" spans="1:10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  <c r="H10" s="5" t="s">
        <v>38</v>
      </c>
      <c r="I10" s="5" t="s">
        <v>38</v>
      </c>
      <c r="J10" s="5" t="s">
        <v>38</v>
      </c>
    </row>
    <row r="11" spans="1:10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</row>
    <row r="12" spans="1:10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  <c r="H12" s="5" t="s">
        <v>38</v>
      </c>
      <c r="I12" s="5" t="s">
        <v>38</v>
      </c>
      <c r="J12" s="5" t="s">
        <v>38</v>
      </c>
    </row>
    <row r="13" spans="1:10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</row>
    <row r="14" spans="1:10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  <c r="H14" s="5" t="s">
        <v>38</v>
      </c>
      <c r="I14" s="5" t="s">
        <v>38</v>
      </c>
      <c r="J14" s="5" t="s">
        <v>38</v>
      </c>
    </row>
    <row r="15" spans="1:10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</row>
    <row r="16" spans="1:10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  <c r="H16" s="5" t="s">
        <v>38</v>
      </c>
      <c r="I16" s="5" t="s">
        <v>38</v>
      </c>
      <c r="J16" s="5" t="s">
        <v>38</v>
      </c>
    </row>
    <row r="17" spans="1:10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</row>
    <row r="18" spans="1:10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38</v>
      </c>
      <c r="I18" s="5" t="s">
        <v>38</v>
      </c>
      <c r="J18" s="5" t="s">
        <v>38</v>
      </c>
    </row>
    <row r="19" spans="1:10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  <c r="H19" s="3" t="s">
        <v>38</v>
      </c>
      <c r="I19" s="3" t="s">
        <v>38</v>
      </c>
      <c r="J19" s="3" t="s">
        <v>38</v>
      </c>
    </row>
    <row r="20" spans="1:10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  <c r="H20" s="5" t="s">
        <v>38</v>
      </c>
      <c r="I20" s="5" t="s">
        <v>38</v>
      </c>
      <c r="J20" s="5" t="s">
        <v>38</v>
      </c>
    </row>
    <row r="21" spans="1:10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</row>
    <row r="22" spans="1:10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 t="s">
        <v>38</v>
      </c>
    </row>
    <row r="23" spans="1:10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</row>
    <row r="24" spans="1:10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  <c r="H24" s="5" t="s">
        <v>38</v>
      </c>
      <c r="I24" s="5" t="s">
        <v>38</v>
      </c>
      <c r="J24" s="5" t="s">
        <v>38</v>
      </c>
    </row>
    <row r="25" spans="1:10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  <c r="H25" s="3" t="s">
        <v>38</v>
      </c>
      <c r="I25" s="3" t="s">
        <v>38</v>
      </c>
      <c r="J25" s="3" t="s">
        <v>38</v>
      </c>
    </row>
    <row r="26" spans="1:10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  <c r="H26" s="5" t="s">
        <v>38</v>
      </c>
      <c r="I26" s="5" t="s">
        <v>38</v>
      </c>
      <c r="J26" s="5" t="s">
        <v>38</v>
      </c>
    </row>
    <row r="27" spans="1:10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</row>
    <row r="28" spans="1:10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  <c r="H28" s="5" t="s">
        <v>38</v>
      </c>
      <c r="I28" s="5" t="s">
        <v>38</v>
      </c>
      <c r="J28" s="5" t="s">
        <v>38</v>
      </c>
    </row>
    <row r="29" spans="1:10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</row>
    <row r="30" spans="1:10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5" t="s">
        <v>38</v>
      </c>
    </row>
    <row r="31" spans="1:10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  <c r="H31" s="3" t="s">
        <v>38</v>
      </c>
      <c r="I31" s="3" t="s">
        <v>38</v>
      </c>
      <c r="J31" s="3" t="s">
        <v>38</v>
      </c>
    </row>
    <row r="32" spans="1:10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  <c r="H32" s="5" t="s">
        <v>38</v>
      </c>
      <c r="I32" s="5" t="s">
        <v>38</v>
      </c>
      <c r="J32" s="5" t="s">
        <v>38</v>
      </c>
    </row>
    <row r="33" spans="1:10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</row>
    <row r="34" spans="1:10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5" t="s">
        <v>38</v>
      </c>
      <c r="J34" s="5" t="s">
        <v>38</v>
      </c>
    </row>
    <row r="35" spans="1:10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</row>
    <row r="36" spans="1:10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  <c r="H36" s="5" t="s">
        <v>38</v>
      </c>
      <c r="I36" s="5" t="s">
        <v>38</v>
      </c>
      <c r="J36" s="5" t="s">
        <v>38</v>
      </c>
    </row>
    <row r="37" spans="1:10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</row>
    <row r="38" spans="1:10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  <c r="H38" s="5" t="s">
        <v>38</v>
      </c>
      <c r="I38" s="5" t="s">
        <v>38</v>
      </c>
      <c r="J38" s="5" t="s">
        <v>38</v>
      </c>
    </row>
    <row r="39" spans="1:10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  <c r="H39" s="3" t="s">
        <v>38</v>
      </c>
      <c r="I39" s="3" t="s">
        <v>38</v>
      </c>
      <c r="J39" s="3" t="s">
        <v>38</v>
      </c>
    </row>
    <row r="40" spans="1:10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</row>
    <row r="41" spans="1:10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</row>
    <row r="42" spans="1:10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</row>
    <row r="43" spans="1:10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</row>
    <row r="44" spans="1:10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</row>
    <row r="45" spans="1:10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</row>
    <row r="46" spans="1:10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  <c r="H46" s="5" t="s">
        <v>38</v>
      </c>
      <c r="I46" s="5" t="s">
        <v>38</v>
      </c>
      <c r="J46" s="5" t="s">
        <v>38</v>
      </c>
    </row>
    <row r="47" spans="1:10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</row>
    <row r="48" spans="1:10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  <c r="H48" s="5" t="s">
        <v>38</v>
      </c>
      <c r="I48" s="5" t="s">
        <v>38</v>
      </c>
      <c r="J48" s="5" t="s">
        <v>38</v>
      </c>
    </row>
    <row r="49" spans="1:10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38</v>
      </c>
      <c r="J49" s="3" t="s">
        <v>38</v>
      </c>
    </row>
    <row r="50" spans="1:10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  <c r="H50" s="5" t="s">
        <v>38</v>
      </c>
      <c r="I50" s="5" t="s">
        <v>38</v>
      </c>
      <c r="J50" s="5" t="s">
        <v>38</v>
      </c>
    </row>
    <row r="51" spans="1:10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38</v>
      </c>
      <c r="I51" s="3" t="s">
        <v>38</v>
      </c>
      <c r="J51" s="3" t="s">
        <v>38</v>
      </c>
    </row>
    <row r="52" spans="1:10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  <c r="H52" s="5" t="s">
        <v>38</v>
      </c>
      <c r="I52" s="5" t="s">
        <v>38</v>
      </c>
      <c r="J52" s="5" t="s">
        <v>38</v>
      </c>
    </row>
    <row r="53" spans="1:10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  <c r="H53" s="3" t="s">
        <v>38</v>
      </c>
      <c r="I53" s="3" t="s">
        <v>38</v>
      </c>
      <c r="J53" s="3" t="s">
        <v>38</v>
      </c>
    </row>
    <row r="54" spans="1:10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38</v>
      </c>
      <c r="I54" s="5" t="s">
        <v>38</v>
      </c>
      <c r="J54" s="5" t="s">
        <v>38</v>
      </c>
    </row>
  </sheetData>
  <mergeCells count="2">
    <mergeCell ref="A1:L1"/>
    <mergeCell ref="A2:L2"/>
  </mergeCells>
  <dataValidations count="4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  <dataValidation type="list" showErrorMessage="1" errorTitle="Inválido" error="Selecciona un valor" sqref="C10:D53">
      <formula1>BD!$A$40:$A$43</formula1>
    </dataValidation>
    <dataValidation type="list" showErrorMessage="1" errorTitle="Inválido" error="Selecciona un valor" sqref="C4:D53">
      <formula1>BD!$A$40:$A$43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30" customWidth="1"/>
    <col min="3" max="4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4" x14ac:dyDescent="0.25">
      <c r="A4" s="2" t="s">
        <v>93</v>
      </c>
      <c r="B4" s="2" t="s">
        <v>219</v>
      </c>
      <c r="C4" s="2" t="s">
        <v>229</v>
      </c>
      <c r="D4" s="2" t="s">
        <v>107</v>
      </c>
    </row>
    <row r="5" spans="1:4" x14ac:dyDescent="0.25">
      <c r="A5" s="3">
        <v>1</v>
      </c>
      <c r="B5" s="3" t="s">
        <v>38</v>
      </c>
      <c r="C5" s="3" t="s">
        <v>38</v>
      </c>
      <c r="D5" s="3" t="s">
        <v>38</v>
      </c>
    </row>
    <row r="6" spans="1:4" x14ac:dyDescent="0.25">
      <c r="A6" s="5">
        <v>2</v>
      </c>
      <c r="B6" s="5" t="s">
        <v>38</v>
      </c>
      <c r="C6" s="5" t="s">
        <v>38</v>
      </c>
      <c r="D6" s="5" t="s">
        <v>38</v>
      </c>
    </row>
    <row r="7" spans="1:4" x14ac:dyDescent="0.25">
      <c r="A7" s="3">
        <v>3</v>
      </c>
      <c r="B7" s="3" t="s">
        <v>38</v>
      </c>
      <c r="C7" s="3" t="s">
        <v>38</v>
      </c>
      <c r="D7" s="3" t="s">
        <v>38</v>
      </c>
    </row>
    <row r="8" spans="1:4" x14ac:dyDescent="0.25">
      <c r="A8" s="5">
        <v>4</v>
      </c>
      <c r="B8" s="5" t="s">
        <v>38</v>
      </c>
      <c r="C8" s="5" t="s">
        <v>38</v>
      </c>
      <c r="D8" s="5" t="s">
        <v>38</v>
      </c>
    </row>
    <row r="9" spans="1:4" x14ac:dyDescent="0.25">
      <c r="A9" s="3">
        <v>5</v>
      </c>
      <c r="B9" s="3" t="s">
        <v>38</v>
      </c>
      <c r="C9" s="3" t="s">
        <v>38</v>
      </c>
      <c r="D9" s="3" t="s">
        <v>38</v>
      </c>
    </row>
    <row r="10" spans="1:4" x14ac:dyDescent="0.25">
      <c r="A10" s="5">
        <v>6</v>
      </c>
      <c r="B10" s="5" t="s">
        <v>38</v>
      </c>
      <c r="C10" s="5" t="s">
        <v>38</v>
      </c>
      <c r="D10" s="5" t="s">
        <v>38</v>
      </c>
    </row>
    <row r="11" spans="1:4" x14ac:dyDescent="0.25">
      <c r="A11" s="3">
        <v>7</v>
      </c>
      <c r="B11" s="3" t="s">
        <v>38</v>
      </c>
      <c r="C11" s="3" t="s">
        <v>38</v>
      </c>
      <c r="D11" s="3" t="s">
        <v>38</v>
      </c>
    </row>
    <row r="12" spans="1:4" x14ac:dyDescent="0.25">
      <c r="A12" s="5">
        <v>8</v>
      </c>
      <c r="B12" s="5" t="s">
        <v>38</v>
      </c>
      <c r="C12" s="5" t="s">
        <v>38</v>
      </c>
      <c r="D12" s="5" t="s">
        <v>38</v>
      </c>
    </row>
    <row r="13" spans="1:4" x14ac:dyDescent="0.25">
      <c r="A13" s="3">
        <v>9</v>
      </c>
      <c r="B13" s="3" t="s">
        <v>38</v>
      </c>
      <c r="C13" s="3" t="s">
        <v>38</v>
      </c>
      <c r="D13" s="3" t="s">
        <v>38</v>
      </c>
    </row>
    <row r="14" spans="1:4" x14ac:dyDescent="0.25">
      <c r="A14" s="5">
        <v>10</v>
      </c>
      <c r="B14" s="5" t="s">
        <v>38</v>
      </c>
      <c r="C14" s="5" t="s">
        <v>38</v>
      </c>
      <c r="D14" s="5" t="s">
        <v>38</v>
      </c>
    </row>
    <row r="15" spans="1:4" x14ac:dyDescent="0.25">
      <c r="A15" s="3">
        <v>11</v>
      </c>
      <c r="B15" s="3" t="s">
        <v>38</v>
      </c>
      <c r="C15" s="3" t="s">
        <v>38</v>
      </c>
      <c r="D15" s="3" t="s">
        <v>38</v>
      </c>
    </row>
    <row r="16" spans="1:4" x14ac:dyDescent="0.25">
      <c r="A16" s="5">
        <v>12</v>
      </c>
      <c r="B16" s="5" t="s">
        <v>38</v>
      </c>
      <c r="C16" s="5" t="s">
        <v>38</v>
      </c>
      <c r="D16" s="5" t="s">
        <v>38</v>
      </c>
    </row>
    <row r="17" spans="1:4" x14ac:dyDescent="0.25">
      <c r="A17" s="3">
        <v>13</v>
      </c>
      <c r="B17" s="3" t="s">
        <v>38</v>
      </c>
      <c r="C17" s="3" t="s">
        <v>38</v>
      </c>
      <c r="D17" s="3" t="s">
        <v>38</v>
      </c>
    </row>
    <row r="18" spans="1:4" x14ac:dyDescent="0.25">
      <c r="A18" s="5">
        <v>14</v>
      </c>
      <c r="B18" s="5" t="s">
        <v>38</v>
      </c>
      <c r="C18" s="5" t="s">
        <v>38</v>
      </c>
      <c r="D18" s="5" t="s">
        <v>38</v>
      </c>
    </row>
    <row r="19" spans="1:4" x14ac:dyDescent="0.25">
      <c r="A19" s="3">
        <v>15</v>
      </c>
      <c r="B19" s="3" t="s">
        <v>38</v>
      </c>
      <c r="C19" s="3" t="s">
        <v>38</v>
      </c>
      <c r="D19" s="3" t="s">
        <v>38</v>
      </c>
    </row>
    <row r="20" spans="1:4" x14ac:dyDescent="0.25">
      <c r="A20" s="5">
        <v>16</v>
      </c>
      <c r="B20" s="5" t="s">
        <v>38</v>
      </c>
      <c r="C20" s="5" t="s">
        <v>38</v>
      </c>
      <c r="D20" s="5" t="s">
        <v>38</v>
      </c>
    </row>
    <row r="21" spans="1:4" x14ac:dyDescent="0.25">
      <c r="A21" s="3">
        <v>17</v>
      </c>
      <c r="B21" s="3" t="s">
        <v>38</v>
      </c>
      <c r="C21" s="3" t="s">
        <v>38</v>
      </c>
      <c r="D21" s="3" t="s">
        <v>38</v>
      </c>
    </row>
    <row r="22" spans="1:4" x14ac:dyDescent="0.25">
      <c r="A22" s="5">
        <v>18</v>
      </c>
      <c r="B22" s="5" t="s">
        <v>38</v>
      </c>
      <c r="C22" s="5" t="s">
        <v>38</v>
      </c>
      <c r="D22" s="5" t="s">
        <v>38</v>
      </c>
    </row>
    <row r="23" spans="1:4" x14ac:dyDescent="0.25">
      <c r="A23" s="3">
        <v>19</v>
      </c>
      <c r="B23" s="3" t="s">
        <v>38</v>
      </c>
      <c r="C23" s="3" t="s">
        <v>38</v>
      </c>
      <c r="D23" s="3" t="s">
        <v>38</v>
      </c>
    </row>
    <row r="24" spans="1:4" x14ac:dyDescent="0.25">
      <c r="A24" s="5">
        <v>20</v>
      </c>
      <c r="B24" s="5" t="s">
        <v>38</v>
      </c>
      <c r="C24" s="5" t="s">
        <v>38</v>
      </c>
      <c r="D24" s="5" t="s">
        <v>38</v>
      </c>
    </row>
    <row r="25" spans="1:4" x14ac:dyDescent="0.25">
      <c r="A25" s="3">
        <v>21</v>
      </c>
      <c r="B25" s="3" t="s">
        <v>38</v>
      </c>
      <c r="C25" s="3" t="s">
        <v>38</v>
      </c>
      <c r="D25" s="3" t="s">
        <v>38</v>
      </c>
    </row>
    <row r="26" spans="1:4" x14ac:dyDescent="0.25">
      <c r="A26" s="5">
        <v>22</v>
      </c>
      <c r="B26" s="5" t="s">
        <v>38</v>
      </c>
      <c r="C26" s="5" t="s">
        <v>38</v>
      </c>
      <c r="D26" s="5" t="s">
        <v>38</v>
      </c>
    </row>
    <row r="27" spans="1:4" x14ac:dyDescent="0.25">
      <c r="A27" s="3">
        <v>23</v>
      </c>
      <c r="B27" s="3" t="s">
        <v>38</v>
      </c>
      <c r="C27" s="3" t="s">
        <v>38</v>
      </c>
      <c r="D27" s="3" t="s">
        <v>38</v>
      </c>
    </row>
    <row r="28" spans="1:4" x14ac:dyDescent="0.25">
      <c r="A28" s="5">
        <v>24</v>
      </c>
      <c r="B28" s="5" t="s">
        <v>38</v>
      </c>
      <c r="C28" s="5" t="s">
        <v>38</v>
      </c>
      <c r="D28" s="5" t="s">
        <v>38</v>
      </c>
    </row>
    <row r="29" spans="1:4" x14ac:dyDescent="0.25">
      <c r="A29" s="3">
        <v>25</v>
      </c>
      <c r="B29" s="3" t="s">
        <v>38</v>
      </c>
      <c r="C29" s="3" t="s">
        <v>38</v>
      </c>
      <c r="D29" s="3" t="s">
        <v>38</v>
      </c>
    </row>
    <row r="30" spans="1:4" x14ac:dyDescent="0.25">
      <c r="A30" s="5">
        <v>26</v>
      </c>
      <c r="B30" s="5" t="s">
        <v>38</v>
      </c>
      <c r="C30" s="5" t="s">
        <v>38</v>
      </c>
      <c r="D30" s="5" t="s">
        <v>38</v>
      </c>
    </row>
    <row r="31" spans="1:4" x14ac:dyDescent="0.25">
      <c r="A31" s="3">
        <v>27</v>
      </c>
      <c r="B31" s="3" t="s">
        <v>38</v>
      </c>
      <c r="C31" s="3" t="s">
        <v>38</v>
      </c>
      <c r="D31" s="3" t="s">
        <v>38</v>
      </c>
    </row>
    <row r="32" spans="1:4" x14ac:dyDescent="0.25">
      <c r="A32" s="5">
        <v>28</v>
      </c>
      <c r="B32" s="5" t="s">
        <v>38</v>
      </c>
      <c r="C32" s="5" t="s">
        <v>38</v>
      </c>
      <c r="D32" s="5" t="s">
        <v>38</v>
      </c>
    </row>
    <row r="33" spans="1:4" x14ac:dyDescent="0.25">
      <c r="A33" s="3">
        <v>29</v>
      </c>
      <c r="B33" s="3" t="s">
        <v>38</v>
      </c>
      <c r="C33" s="3" t="s">
        <v>38</v>
      </c>
      <c r="D33" s="3" t="s">
        <v>38</v>
      </c>
    </row>
    <row r="34" spans="1:4" x14ac:dyDescent="0.25">
      <c r="A34" s="5">
        <v>30</v>
      </c>
      <c r="B34" s="5" t="s">
        <v>38</v>
      </c>
      <c r="C34" s="5" t="s">
        <v>38</v>
      </c>
      <c r="D34" s="5" t="s">
        <v>38</v>
      </c>
    </row>
    <row r="35" spans="1:4" x14ac:dyDescent="0.25">
      <c r="A35" s="3">
        <v>31</v>
      </c>
      <c r="B35" s="3" t="s">
        <v>38</v>
      </c>
      <c r="C35" s="3" t="s">
        <v>38</v>
      </c>
      <c r="D35" s="3" t="s">
        <v>38</v>
      </c>
    </row>
    <row r="36" spans="1:4" x14ac:dyDescent="0.25">
      <c r="A36" s="5">
        <v>32</v>
      </c>
      <c r="B36" s="5" t="s">
        <v>38</v>
      </c>
      <c r="C36" s="5" t="s">
        <v>38</v>
      </c>
      <c r="D36" s="5" t="s">
        <v>38</v>
      </c>
    </row>
    <row r="37" spans="1:4" x14ac:dyDescent="0.25">
      <c r="A37" s="3">
        <v>33</v>
      </c>
      <c r="B37" s="3" t="s">
        <v>38</v>
      </c>
      <c r="C37" s="3" t="s">
        <v>38</v>
      </c>
      <c r="D37" s="3" t="s">
        <v>38</v>
      </c>
    </row>
    <row r="38" spans="1:4" x14ac:dyDescent="0.25">
      <c r="A38" s="5">
        <v>34</v>
      </c>
      <c r="B38" s="5" t="s">
        <v>38</v>
      </c>
      <c r="C38" s="5" t="s">
        <v>38</v>
      </c>
      <c r="D38" s="5" t="s">
        <v>38</v>
      </c>
    </row>
    <row r="39" spans="1:4" x14ac:dyDescent="0.25">
      <c r="A39" s="3">
        <v>35</v>
      </c>
      <c r="B39" s="3" t="s">
        <v>38</v>
      </c>
      <c r="C39" s="3" t="s">
        <v>38</v>
      </c>
      <c r="D39" s="3" t="s">
        <v>38</v>
      </c>
    </row>
    <row r="40" spans="1:4" x14ac:dyDescent="0.25">
      <c r="A40" s="5">
        <v>36</v>
      </c>
      <c r="B40" s="5" t="s">
        <v>38</v>
      </c>
      <c r="C40" s="5" t="s">
        <v>38</v>
      </c>
      <c r="D40" s="5" t="s">
        <v>38</v>
      </c>
    </row>
    <row r="41" spans="1:4" x14ac:dyDescent="0.25">
      <c r="A41" s="3">
        <v>37</v>
      </c>
      <c r="B41" s="3" t="s">
        <v>38</v>
      </c>
      <c r="C41" s="3" t="s">
        <v>38</v>
      </c>
      <c r="D41" s="3" t="s">
        <v>38</v>
      </c>
    </row>
    <row r="42" spans="1:4" x14ac:dyDescent="0.25">
      <c r="A42" s="5">
        <v>38</v>
      </c>
      <c r="B42" s="5" t="s">
        <v>38</v>
      </c>
      <c r="C42" s="5" t="s">
        <v>38</v>
      </c>
      <c r="D42" s="5" t="s">
        <v>38</v>
      </c>
    </row>
    <row r="43" spans="1:4" x14ac:dyDescent="0.25">
      <c r="A43" s="3">
        <v>39</v>
      </c>
      <c r="B43" s="3" t="s">
        <v>38</v>
      </c>
      <c r="C43" s="3" t="s">
        <v>38</v>
      </c>
      <c r="D43" s="3" t="s">
        <v>38</v>
      </c>
    </row>
    <row r="44" spans="1:4" x14ac:dyDescent="0.25">
      <c r="A44" s="5">
        <v>40</v>
      </c>
      <c r="B44" s="5" t="s">
        <v>38</v>
      </c>
      <c r="C44" s="5" t="s">
        <v>38</v>
      </c>
      <c r="D44" s="5" t="s">
        <v>38</v>
      </c>
    </row>
    <row r="45" spans="1:4" x14ac:dyDescent="0.25">
      <c r="A45" s="3">
        <v>41</v>
      </c>
      <c r="B45" s="3" t="s">
        <v>38</v>
      </c>
      <c r="C45" s="3" t="s">
        <v>38</v>
      </c>
      <c r="D45" s="3" t="s">
        <v>38</v>
      </c>
    </row>
    <row r="46" spans="1:4" x14ac:dyDescent="0.25">
      <c r="A46" s="5">
        <v>42</v>
      </c>
      <c r="B46" s="5" t="s">
        <v>38</v>
      </c>
      <c r="C46" s="5" t="s">
        <v>38</v>
      </c>
      <c r="D46" s="5" t="s">
        <v>38</v>
      </c>
    </row>
    <row r="47" spans="1:4" x14ac:dyDescent="0.25">
      <c r="A47" s="3">
        <v>43</v>
      </c>
      <c r="B47" s="3" t="s">
        <v>38</v>
      </c>
      <c r="C47" s="3" t="s">
        <v>38</v>
      </c>
      <c r="D47" s="3" t="s">
        <v>38</v>
      </c>
    </row>
    <row r="48" spans="1:4" x14ac:dyDescent="0.25">
      <c r="A48" s="5">
        <v>44</v>
      </c>
      <c r="B48" s="5" t="s">
        <v>38</v>
      </c>
      <c r="C48" s="5" t="s">
        <v>38</v>
      </c>
      <c r="D48" s="5" t="s">
        <v>38</v>
      </c>
    </row>
    <row r="49" spans="1:4" x14ac:dyDescent="0.25">
      <c r="A49" s="3">
        <v>45</v>
      </c>
      <c r="B49" s="3" t="s">
        <v>38</v>
      </c>
      <c r="C49" s="3" t="s">
        <v>38</v>
      </c>
      <c r="D49" s="3" t="s">
        <v>38</v>
      </c>
    </row>
    <row r="50" spans="1:4" x14ac:dyDescent="0.25">
      <c r="A50" s="5">
        <v>46</v>
      </c>
      <c r="B50" s="5" t="s">
        <v>38</v>
      </c>
      <c r="C50" s="5" t="s">
        <v>38</v>
      </c>
      <c r="D50" s="5" t="s">
        <v>38</v>
      </c>
    </row>
    <row r="51" spans="1:4" x14ac:dyDescent="0.25">
      <c r="A51" s="3">
        <v>47</v>
      </c>
      <c r="B51" s="3" t="s">
        <v>38</v>
      </c>
      <c r="C51" s="3" t="s">
        <v>38</v>
      </c>
      <c r="D51" s="3" t="s">
        <v>38</v>
      </c>
    </row>
    <row r="52" spans="1:4" x14ac:dyDescent="0.25">
      <c r="A52" s="5">
        <v>48</v>
      </c>
      <c r="B52" s="5" t="s">
        <v>38</v>
      </c>
      <c r="C52" s="5" t="s">
        <v>38</v>
      </c>
      <c r="D52" s="5" t="s">
        <v>38</v>
      </c>
    </row>
    <row r="53" spans="1:4" x14ac:dyDescent="0.25">
      <c r="A53" s="3">
        <v>49</v>
      </c>
      <c r="B53" s="3" t="s">
        <v>38</v>
      </c>
      <c r="C53" s="3" t="s">
        <v>38</v>
      </c>
      <c r="D53" s="3" t="s">
        <v>38</v>
      </c>
    </row>
    <row r="54" spans="1:4" x14ac:dyDescent="0.25">
      <c r="A54" s="5">
        <v>50</v>
      </c>
      <c r="B54" s="5" t="s">
        <v>38</v>
      </c>
      <c r="C54" s="5" t="s">
        <v>38</v>
      </c>
      <c r="D54" s="5" t="s">
        <v>38</v>
      </c>
    </row>
  </sheetData>
  <mergeCells count="2">
    <mergeCell ref="A1:L1"/>
    <mergeCell ref="A2:L2"/>
  </mergeCells>
  <dataValidations count="2">
    <dataValidation type="list" showErrorMessage="1" errorTitle="Inválido" error="Selecciona un valor" sqref="B10:B53">
      <formula1>BD!$B$18:$B$26</formula1>
    </dataValidation>
    <dataValidation type="list" showErrorMessage="1" errorTitle="Inválido" error="Selecciona un valor" sqref="B4:B53">
      <formula1>BD!$B$18:$B$26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5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230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5" x14ac:dyDescent="0.25">
      <c r="A4" s="2" t="s">
        <v>93</v>
      </c>
      <c r="B4" s="2" t="s">
        <v>89</v>
      </c>
      <c r="C4" s="2" t="s">
        <v>231</v>
      </c>
      <c r="D4" s="2" t="s">
        <v>90</v>
      </c>
      <c r="E4" s="2" t="s">
        <v>107</v>
      </c>
    </row>
    <row r="5" spans="1:5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</row>
    <row r="6" spans="1:5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</row>
    <row r="7" spans="1:5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</row>
    <row r="8" spans="1:5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</row>
    <row r="9" spans="1:5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</row>
    <row r="10" spans="1:5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</row>
    <row r="11" spans="1:5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</row>
    <row r="12" spans="1:5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</row>
    <row r="13" spans="1:5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</row>
    <row r="14" spans="1:5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</row>
    <row r="15" spans="1:5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</row>
    <row r="16" spans="1:5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</row>
    <row r="17" spans="1:5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</row>
    <row r="18" spans="1:5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</row>
    <row r="19" spans="1:5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</row>
    <row r="20" spans="1:5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</row>
    <row r="21" spans="1:5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</row>
    <row r="22" spans="1:5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</row>
    <row r="23" spans="1:5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</row>
    <row r="24" spans="1:5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</row>
    <row r="25" spans="1:5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</row>
    <row r="26" spans="1:5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</row>
    <row r="27" spans="1:5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</row>
    <row r="28" spans="1:5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</row>
    <row r="29" spans="1:5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</row>
    <row r="30" spans="1:5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</row>
    <row r="31" spans="1:5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</row>
    <row r="32" spans="1:5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</row>
    <row r="33" spans="1:5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</row>
    <row r="34" spans="1:5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</row>
    <row r="35" spans="1:5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</row>
    <row r="36" spans="1:5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</row>
    <row r="37" spans="1:5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</row>
    <row r="38" spans="1:5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</row>
    <row r="39" spans="1:5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</row>
    <row r="40" spans="1:5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</row>
    <row r="41" spans="1:5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</row>
    <row r="42" spans="1:5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</row>
    <row r="43" spans="1:5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</row>
    <row r="44" spans="1:5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</row>
    <row r="45" spans="1:5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</row>
    <row r="46" spans="1:5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</row>
    <row r="47" spans="1:5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</row>
    <row r="48" spans="1:5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</row>
    <row r="49" spans="1:5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</row>
    <row r="50" spans="1:5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</row>
    <row r="51" spans="1:5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</row>
    <row r="52" spans="1:5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</row>
    <row r="53" spans="1:5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</row>
    <row r="54" spans="1:5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</row>
  </sheetData>
  <mergeCells count="2">
    <mergeCell ref="A1:L1"/>
    <mergeCell ref="A2:L2"/>
  </mergeCells>
  <dataValidations count="4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  <dataValidation type="list" showErrorMessage="1" errorTitle="Inválido" error="Selecciona un valor" sqref="D10:D53">
      <formula1>BD!$A$35:$A$37</formula1>
    </dataValidation>
    <dataValidation type="list" showErrorMessage="1" errorTitle="Inválido" error="Selecciona un valor" sqref="D4:D53">
      <formula1>BD!$A$35:$A$37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30" customWidth="1"/>
    <col min="3" max="3" width="50" customWidth="1"/>
    <col min="4" max="7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7" x14ac:dyDescent="0.25">
      <c r="A4" s="2" t="s">
        <v>93</v>
      </c>
      <c r="B4" s="2" t="s">
        <v>233</v>
      </c>
      <c r="C4" s="2" t="s">
        <v>234</v>
      </c>
      <c r="D4" s="2" t="s">
        <v>235</v>
      </c>
      <c r="E4" s="2" t="s">
        <v>236</v>
      </c>
      <c r="F4" s="2" t="s">
        <v>237</v>
      </c>
      <c r="G4" s="2" t="s">
        <v>107</v>
      </c>
    </row>
    <row r="5" spans="1:7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</row>
    <row r="6" spans="1:7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</row>
    <row r="7" spans="1:7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</row>
    <row r="8" spans="1:7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</row>
    <row r="9" spans="1:7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</row>
    <row r="10" spans="1:7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</row>
    <row r="11" spans="1:7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</row>
    <row r="12" spans="1:7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</row>
    <row r="13" spans="1:7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</row>
    <row r="14" spans="1:7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</row>
    <row r="15" spans="1:7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</row>
    <row r="16" spans="1:7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</row>
    <row r="17" spans="1:7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</row>
    <row r="18" spans="1:7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</row>
    <row r="19" spans="1:7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</row>
    <row r="20" spans="1:7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</row>
    <row r="21" spans="1:7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</row>
    <row r="22" spans="1:7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</row>
    <row r="23" spans="1:7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</row>
    <row r="24" spans="1:7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</row>
    <row r="25" spans="1:7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</row>
    <row r="26" spans="1:7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</row>
    <row r="27" spans="1:7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</row>
    <row r="28" spans="1:7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</row>
    <row r="29" spans="1:7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</row>
    <row r="30" spans="1:7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</row>
    <row r="31" spans="1:7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</row>
    <row r="32" spans="1:7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</row>
    <row r="33" spans="1:7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</row>
    <row r="34" spans="1:7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</row>
    <row r="35" spans="1:7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</row>
    <row r="36" spans="1:7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</row>
    <row r="37" spans="1:7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</row>
    <row r="38" spans="1:7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</row>
    <row r="39" spans="1:7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</row>
    <row r="40" spans="1:7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</row>
    <row r="41" spans="1:7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</row>
    <row r="42" spans="1:7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</row>
    <row r="43" spans="1:7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</row>
    <row r="44" spans="1:7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</row>
    <row r="45" spans="1:7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</row>
    <row r="46" spans="1:7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</row>
    <row r="47" spans="1:7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</row>
    <row r="48" spans="1:7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</row>
    <row r="49" spans="1:7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</row>
    <row r="50" spans="1:7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</row>
    <row r="51" spans="1:7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</row>
    <row r="52" spans="1:7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</row>
    <row r="53" spans="1:7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</row>
    <row r="54" spans="1:7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FormatPr defaultRowHeight="15" outlineLevelRow="0" outlineLevelCol="0" x14ac:dyDescent="55"/>
  <cols>
    <col min="1" max="1" width="5" customWidth="1"/>
    <col min="2" max="2" width="50" customWidth="1"/>
    <col min="3" max="3" width="25" customWidth="1"/>
    <col min="4" max="5" width="14" customWidth="1"/>
    <col min="6" max="6" width="10" customWidth="1"/>
    <col min="7" max="7" width="14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238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7" x14ac:dyDescent="0.25">
      <c r="A4" s="2" t="s">
        <v>93</v>
      </c>
      <c r="B4" s="2" t="s">
        <v>89</v>
      </c>
      <c r="C4" s="2" t="s">
        <v>239</v>
      </c>
      <c r="D4" s="2" t="s">
        <v>240</v>
      </c>
      <c r="E4" s="2" t="s">
        <v>241</v>
      </c>
      <c r="F4" s="2" t="s">
        <v>242</v>
      </c>
      <c r="G4" s="2" t="s">
        <v>107</v>
      </c>
    </row>
    <row r="5" spans="1:7" x14ac:dyDescent="0.25">
      <c r="A5" s="3">
        <v>1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</row>
    <row r="6" spans="1:7" x14ac:dyDescent="0.25">
      <c r="A6" s="5">
        <v>2</v>
      </c>
      <c r="B6" s="5" t="s">
        <v>38</v>
      </c>
      <c r="C6" s="5" t="s">
        <v>38</v>
      </c>
      <c r="D6" s="5" t="s">
        <v>38</v>
      </c>
      <c r="E6" s="5" t="s">
        <v>38</v>
      </c>
      <c r="F6" s="5" t="s">
        <v>38</v>
      </c>
      <c r="G6" s="5" t="s">
        <v>38</v>
      </c>
    </row>
    <row r="7" spans="1:7" x14ac:dyDescent="0.25">
      <c r="A7" s="3">
        <v>3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3" t="s">
        <v>38</v>
      </c>
    </row>
    <row r="8" spans="1:7" x14ac:dyDescent="0.25">
      <c r="A8" s="5">
        <v>4</v>
      </c>
      <c r="B8" s="5" t="s">
        <v>38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</row>
    <row r="9" spans="1:7" x14ac:dyDescent="0.25">
      <c r="A9" s="3">
        <v>5</v>
      </c>
      <c r="B9" s="3" t="s">
        <v>38</v>
      </c>
      <c r="C9" s="3" t="s">
        <v>38</v>
      </c>
      <c r="D9" s="3" t="s">
        <v>38</v>
      </c>
      <c r="E9" s="3" t="s">
        <v>38</v>
      </c>
      <c r="F9" s="3" t="s">
        <v>38</v>
      </c>
      <c r="G9" s="3" t="s">
        <v>38</v>
      </c>
    </row>
    <row r="10" spans="1:7" x14ac:dyDescent="0.25">
      <c r="A10" s="5">
        <v>6</v>
      </c>
      <c r="B10" s="5" t="s">
        <v>38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38</v>
      </c>
    </row>
    <row r="11" spans="1:7" x14ac:dyDescent="0.25">
      <c r="A11" s="3">
        <v>7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</row>
    <row r="12" spans="1:7" x14ac:dyDescent="0.25">
      <c r="A12" s="5">
        <v>8</v>
      </c>
      <c r="B12" s="5" t="s">
        <v>38</v>
      </c>
      <c r="C12" s="5" t="s">
        <v>38</v>
      </c>
      <c r="D12" s="5" t="s">
        <v>38</v>
      </c>
      <c r="E12" s="5" t="s">
        <v>38</v>
      </c>
      <c r="F12" s="5" t="s">
        <v>38</v>
      </c>
      <c r="G12" s="5" t="s">
        <v>38</v>
      </c>
    </row>
    <row r="13" spans="1:7" x14ac:dyDescent="0.25">
      <c r="A13" s="3">
        <v>9</v>
      </c>
      <c r="B13" s="3" t="s">
        <v>38</v>
      </c>
      <c r="C13" s="3" t="s">
        <v>38</v>
      </c>
      <c r="D13" s="3" t="s">
        <v>38</v>
      </c>
      <c r="E13" s="3" t="s">
        <v>38</v>
      </c>
      <c r="F13" s="3" t="s">
        <v>38</v>
      </c>
      <c r="G13" s="3" t="s">
        <v>38</v>
      </c>
    </row>
    <row r="14" spans="1:7" x14ac:dyDescent="0.25">
      <c r="A14" s="5">
        <v>10</v>
      </c>
      <c r="B14" s="5" t="s">
        <v>38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</row>
    <row r="15" spans="1:7" x14ac:dyDescent="0.25">
      <c r="A15" s="3">
        <v>11</v>
      </c>
      <c r="B15" s="3" t="s">
        <v>38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38</v>
      </c>
    </row>
    <row r="16" spans="1:7" x14ac:dyDescent="0.25">
      <c r="A16" s="5">
        <v>12</v>
      </c>
      <c r="B16" s="5" t="s">
        <v>38</v>
      </c>
      <c r="C16" s="5" t="s">
        <v>38</v>
      </c>
      <c r="D16" s="5" t="s">
        <v>38</v>
      </c>
      <c r="E16" s="5" t="s">
        <v>38</v>
      </c>
      <c r="F16" s="5" t="s">
        <v>38</v>
      </c>
      <c r="G16" s="5" t="s">
        <v>38</v>
      </c>
    </row>
    <row r="17" spans="1:7" x14ac:dyDescent="0.25">
      <c r="A17" s="3">
        <v>13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  <c r="G17" s="3" t="s">
        <v>38</v>
      </c>
    </row>
    <row r="18" spans="1:7" x14ac:dyDescent="0.25">
      <c r="A18" s="5">
        <v>14</v>
      </c>
      <c r="B18" s="5" t="s">
        <v>38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</row>
    <row r="19" spans="1:7" x14ac:dyDescent="0.25">
      <c r="A19" s="3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38</v>
      </c>
    </row>
    <row r="20" spans="1:7" x14ac:dyDescent="0.25">
      <c r="A20" s="5">
        <v>16</v>
      </c>
      <c r="B20" s="5" t="s">
        <v>38</v>
      </c>
      <c r="C20" s="5" t="s">
        <v>38</v>
      </c>
      <c r="D20" s="5" t="s">
        <v>38</v>
      </c>
      <c r="E20" s="5" t="s">
        <v>38</v>
      </c>
      <c r="F20" s="5" t="s">
        <v>38</v>
      </c>
      <c r="G20" s="5" t="s">
        <v>38</v>
      </c>
    </row>
    <row r="21" spans="1:7" x14ac:dyDescent="0.25">
      <c r="A21" s="3">
        <v>17</v>
      </c>
      <c r="B21" s="3" t="s">
        <v>38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</row>
    <row r="22" spans="1:7" x14ac:dyDescent="0.25">
      <c r="A22" s="5">
        <v>18</v>
      </c>
      <c r="B22" s="5" t="s">
        <v>38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</row>
    <row r="23" spans="1:7" x14ac:dyDescent="0.25">
      <c r="A23" s="3">
        <v>19</v>
      </c>
      <c r="B23" s="3" t="s">
        <v>38</v>
      </c>
      <c r="C23" s="3" t="s">
        <v>38</v>
      </c>
      <c r="D23" s="3" t="s">
        <v>38</v>
      </c>
      <c r="E23" s="3" t="s">
        <v>38</v>
      </c>
      <c r="F23" s="3" t="s">
        <v>38</v>
      </c>
      <c r="G23" s="3" t="s">
        <v>38</v>
      </c>
    </row>
    <row r="24" spans="1:7" x14ac:dyDescent="0.25">
      <c r="A24" s="5">
        <v>20</v>
      </c>
      <c r="B24" s="5" t="s">
        <v>38</v>
      </c>
      <c r="C24" s="5" t="s">
        <v>38</v>
      </c>
      <c r="D24" s="5" t="s">
        <v>38</v>
      </c>
      <c r="E24" s="5" t="s">
        <v>38</v>
      </c>
      <c r="F24" s="5" t="s">
        <v>38</v>
      </c>
      <c r="G24" s="5" t="s">
        <v>38</v>
      </c>
    </row>
    <row r="25" spans="1:7" x14ac:dyDescent="0.25">
      <c r="A25" s="3">
        <v>21</v>
      </c>
      <c r="B25" s="3" t="s">
        <v>38</v>
      </c>
      <c r="C25" s="3" t="s">
        <v>38</v>
      </c>
      <c r="D25" s="3" t="s">
        <v>38</v>
      </c>
      <c r="E25" s="3" t="s">
        <v>38</v>
      </c>
      <c r="F25" s="3" t="s">
        <v>38</v>
      </c>
      <c r="G25" s="3" t="s">
        <v>38</v>
      </c>
    </row>
    <row r="26" spans="1:7" x14ac:dyDescent="0.25">
      <c r="A26" s="5">
        <v>22</v>
      </c>
      <c r="B26" s="5" t="s">
        <v>38</v>
      </c>
      <c r="C26" s="5" t="s">
        <v>38</v>
      </c>
      <c r="D26" s="5" t="s">
        <v>38</v>
      </c>
      <c r="E26" s="5" t="s">
        <v>38</v>
      </c>
      <c r="F26" s="5" t="s">
        <v>38</v>
      </c>
      <c r="G26" s="5" t="s">
        <v>38</v>
      </c>
    </row>
    <row r="27" spans="1:7" x14ac:dyDescent="0.25">
      <c r="A27" s="3">
        <v>23</v>
      </c>
      <c r="B27" s="3" t="s">
        <v>38</v>
      </c>
      <c r="C27" s="3" t="s">
        <v>38</v>
      </c>
      <c r="D27" s="3" t="s">
        <v>38</v>
      </c>
      <c r="E27" s="3" t="s">
        <v>38</v>
      </c>
      <c r="F27" s="3" t="s">
        <v>38</v>
      </c>
      <c r="G27" s="3" t="s">
        <v>38</v>
      </c>
    </row>
    <row r="28" spans="1:7" x14ac:dyDescent="0.25">
      <c r="A28" s="5">
        <v>24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</row>
    <row r="29" spans="1:7" x14ac:dyDescent="0.25">
      <c r="A29" s="3">
        <v>25</v>
      </c>
      <c r="B29" s="3" t="s">
        <v>38</v>
      </c>
      <c r="C29" s="3" t="s">
        <v>38</v>
      </c>
      <c r="D29" s="3" t="s">
        <v>38</v>
      </c>
      <c r="E29" s="3" t="s">
        <v>38</v>
      </c>
      <c r="F29" s="3" t="s">
        <v>38</v>
      </c>
      <c r="G29" s="3" t="s">
        <v>38</v>
      </c>
    </row>
    <row r="30" spans="1:7" x14ac:dyDescent="0.25">
      <c r="A30" s="5">
        <v>26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</row>
    <row r="31" spans="1:7" x14ac:dyDescent="0.25">
      <c r="A31" s="3">
        <v>27</v>
      </c>
      <c r="B31" s="3" t="s">
        <v>38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</row>
    <row r="32" spans="1:7" x14ac:dyDescent="0.25">
      <c r="A32" s="5">
        <v>28</v>
      </c>
      <c r="B32" s="5" t="s">
        <v>38</v>
      </c>
      <c r="C32" s="5" t="s">
        <v>38</v>
      </c>
      <c r="D32" s="5" t="s">
        <v>38</v>
      </c>
      <c r="E32" s="5" t="s">
        <v>38</v>
      </c>
      <c r="F32" s="5" t="s">
        <v>38</v>
      </c>
      <c r="G32" s="5" t="s">
        <v>38</v>
      </c>
    </row>
    <row r="33" spans="1:7" x14ac:dyDescent="0.25">
      <c r="A33" s="3">
        <v>29</v>
      </c>
      <c r="B33" s="3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</row>
    <row r="34" spans="1:7" x14ac:dyDescent="0.25">
      <c r="A34" s="5">
        <v>30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</row>
    <row r="35" spans="1:7" x14ac:dyDescent="0.25">
      <c r="A35" s="3">
        <v>31</v>
      </c>
      <c r="B35" s="3" t="s">
        <v>38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38</v>
      </c>
    </row>
    <row r="36" spans="1:7" x14ac:dyDescent="0.25">
      <c r="A36" s="5">
        <v>32</v>
      </c>
      <c r="B36" s="5" t="s">
        <v>38</v>
      </c>
      <c r="C36" s="5" t="s">
        <v>38</v>
      </c>
      <c r="D36" s="5" t="s">
        <v>38</v>
      </c>
      <c r="E36" s="5" t="s">
        <v>38</v>
      </c>
      <c r="F36" s="5" t="s">
        <v>38</v>
      </c>
      <c r="G36" s="5" t="s">
        <v>38</v>
      </c>
    </row>
    <row r="37" spans="1:7" x14ac:dyDescent="0.25">
      <c r="A37" s="3">
        <v>33</v>
      </c>
      <c r="B37" s="3" t="s">
        <v>38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38</v>
      </c>
    </row>
    <row r="38" spans="1:7" x14ac:dyDescent="0.25">
      <c r="A38" s="5">
        <v>34</v>
      </c>
      <c r="B38" s="5" t="s">
        <v>38</v>
      </c>
      <c r="C38" s="5" t="s">
        <v>38</v>
      </c>
      <c r="D38" s="5" t="s">
        <v>38</v>
      </c>
      <c r="E38" s="5" t="s">
        <v>38</v>
      </c>
      <c r="F38" s="5" t="s">
        <v>38</v>
      </c>
      <c r="G38" s="5" t="s">
        <v>38</v>
      </c>
    </row>
    <row r="39" spans="1:7" x14ac:dyDescent="0.25">
      <c r="A39" s="3">
        <v>35</v>
      </c>
      <c r="B39" s="3" t="s">
        <v>38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38</v>
      </c>
    </row>
    <row r="40" spans="1:7" x14ac:dyDescent="0.25">
      <c r="A40" s="5">
        <v>36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</row>
    <row r="41" spans="1:7" x14ac:dyDescent="0.25">
      <c r="A41" s="3">
        <v>37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</row>
    <row r="42" spans="1:7" x14ac:dyDescent="0.25">
      <c r="A42" s="5">
        <v>38</v>
      </c>
      <c r="B42" s="5" t="s">
        <v>38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</row>
    <row r="43" spans="1:7" x14ac:dyDescent="0.25">
      <c r="A43" s="3">
        <v>39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</row>
    <row r="44" spans="1:7" x14ac:dyDescent="0.25">
      <c r="A44" s="5">
        <v>40</v>
      </c>
      <c r="B44" s="5" t="s">
        <v>38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</row>
    <row r="45" spans="1:7" x14ac:dyDescent="0.25">
      <c r="A45" s="3">
        <v>41</v>
      </c>
      <c r="B45" s="3" t="s">
        <v>38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38</v>
      </c>
    </row>
    <row r="46" spans="1:7" x14ac:dyDescent="0.25">
      <c r="A46" s="5">
        <v>42</v>
      </c>
      <c r="B46" s="5" t="s">
        <v>38</v>
      </c>
      <c r="C46" s="5" t="s">
        <v>38</v>
      </c>
      <c r="D46" s="5" t="s">
        <v>38</v>
      </c>
      <c r="E46" s="5" t="s">
        <v>38</v>
      </c>
      <c r="F46" s="5" t="s">
        <v>38</v>
      </c>
      <c r="G46" s="5" t="s">
        <v>38</v>
      </c>
    </row>
    <row r="47" spans="1:7" x14ac:dyDescent="0.25">
      <c r="A47" s="3">
        <v>43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</row>
    <row r="48" spans="1:7" x14ac:dyDescent="0.25">
      <c r="A48" s="5">
        <v>44</v>
      </c>
      <c r="B48" s="5" t="s">
        <v>38</v>
      </c>
      <c r="C48" s="5" t="s">
        <v>38</v>
      </c>
      <c r="D48" s="5" t="s">
        <v>38</v>
      </c>
      <c r="E48" s="5" t="s">
        <v>38</v>
      </c>
      <c r="F48" s="5" t="s">
        <v>38</v>
      </c>
      <c r="G48" s="5" t="s">
        <v>38</v>
      </c>
    </row>
    <row r="49" spans="1:7" x14ac:dyDescent="0.25">
      <c r="A49" s="3">
        <v>45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</row>
    <row r="50" spans="1:7" x14ac:dyDescent="0.25">
      <c r="A50" s="5">
        <v>46</v>
      </c>
      <c r="B50" s="5" t="s">
        <v>38</v>
      </c>
      <c r="C50" s="5" t="s">
        <v>38</v>
      </c>
      <c r="D50" s="5" t="s">
        <v>38</v>
      </c>
      <c r="E50" s="5" t="s">
        <v>38</v>
      </c>
      <c r="F50" s="5" t="s">
        <v>38</v>
      </c>
      <c r="G50" s="5" t="s">
        <v>38</v>
      </c>
    </row>
    <row r="51" spans="1:7" x14ac:dyDescent="0.25">
      <c r="A51" s="3">
        <v>47</v>
      </c>
      <c r="B51" s="3" t="s">
        <v>38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38</v>
      </c>
    </row>
    <row r="52" spans="1:7" x14ac:dyDescent="0.25">
      <c r="A52" s="5">
        <v>48</v>
      </c>
      <c r="B52" s="5" t="s">
        <v>38</v>
      </c>
      <c r="C52" s="5" t="s">
        <v>38</v>
      </c>
      <c r="D52" s="5" t="s">
        <v>38</v>
      </c>
      <c r="E52" s="5" t="s">
        <v>38</v>
      </c>
      <c r="F52" s="5" t="s">
        <v>38</v>
      </c>
      <c r="G52" s="5" t="s">
        <v>38</v>
      </c>
    </row>
    <row r="53" spans="1:7" x14ac:dyDescent="0.25">
      <c r="A53" s="3">
        <v>49</v>
      </c>
      <c r="B53" s="3" t="s">
        <v>38</v>
      </c>
      <c r="C53" s="3" t="s">
        <v>38</v>
      </c>
      <c r="D53" s="3" t="s">
        <v>38</v>
      </c>
      <c r="E53" s="3" t="s">
        <v>38</v>
      </c>
      <c r="F53" s="3" t="s">
        <v>38</v>
      </c>
      <c r="G53" s="3" t="s">
        <v>38</v>
      </c>
    </row>
    <row r="54" spans="1:7" x14ac:dyDescent="0.25">
      <c r="A54" s="5">
        <v>50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</row>
  </sheetData>
  <mergeCells count="2">
    <mergeCell ref="A1:L1"/>
    <mergeCell ref="A2:L2"/>
  </mergeCells>
  <dataValidations count="4">
    <dataValidation type="list" showErrorMessage="1" errorTitle="Inválido" error="Selecciona un valor" sqref="B10:B53">
      <formula1>BD!$B$3:$B$13</formula1>
    </dataValidation>
    <dataValidation type="list" showErrorMessage="1" errorTitle="Inválido" error="Selecciona un valor" sqref="B4:B53">
      <formula1>BD!$B$3:$B$13</formula1>
    </dataValidation>
    <dataValidation type="list" showErrorMessage="1" errorTitle="Inválido" error="Selecciona un valor" sqref="C10:C53">
      <formula1>BD!$A$40:$A$43</formula1>
    </dataValidation>
    <dataValidation type="list" showErrorMessage="1" errorTitle="Inválido" error="Selecciona un valor" sqref="C4:C53">
      <formula1>BD!$A$40:$A$43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5" customWidth="1"/>
    <col min="2" max="2" width="50" customWidth="1"/>
    <col min="3" max="7" width="16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243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7" x14ac:dyDescent="0.25">
      <c r="A4" s="2" t="s">
        <v>93</v>
      </c>
      <c r="B4" s="2" t="s">
        <v>89</v>
      </c>
      <c r="C4" s="2" t="s">
        <v>244</v>
      </c>
      <c r="D4" s="2" t="s">
        <v>98</v>
      </c>
      <c r="E4" s="2" t="s">
        <v>99</v>
      </c>
      <c r="F4" s="2" t="s">
        <v>100</v>
      </c>
      <c r="G4" s="2" t="s">
        <v>245</v>
      </c>
    </row>
    <row r="5" spans="1:7" x14ac:dyDescent="0.25">
      <c r="A5" s="3">
        <v>1</v>
      </c>
      <c r="B5" s="4" t="s">
        <v>14</v>
      </c>
      <c r="C5" s="4">
        <v>0</v>
      </c>
      <c r="D5" s="4">
        <v>661.39</v>
      </c>
      <c r="E5" s="4">
        <v>0</v>
      </c>
      <c r="F5" s="4">
        <v>0</v>
      </c>
      <c r="G5" s="26">
        <v>661.39</v>
      </c>
    </row>
    <row r="6" spans="1:7" x14ac:dyDescent="0.25">
      <c r="A6" s="5">
        <v>2</v>
      </c>
      <c r="B6" s="6" t="s">
        <v>17</v>
      </c>
      <c r="C6" s="6">
        <v>0</v>
      </c>
      <c r="D6" s="6">
        <v>661.39</v>
      </c>
      <c r="E6" s="6">
        <v>0</v>
      </c>
      <c r="F6" s="6">
        <v>0</v>
      </c>
      <c r="G6" s="27">
        <v>661.39</v>
      </c>
    </row>
    <row r="7" spans="1:7" x14ac:dyDescent="0.25">
      <c r="A7" s="3">
        <v>3</v>
      </c>
      <c r="B7" s="4" t="s">
        <v>19</v>
      </c>
      <c r="C7" s="4">
        <v>0</v>
      </c>
      <c r="D7" s="4">
        <v>661.39</v>
      </c>
      <c r="E7" s="4">
        <v>0</v>
      </c>
      <c r="F7" s="4">
        <v>0</v>
      </c>
      <c r="G7" s="26">
        <v>661.39</v>
      </c>
    </row>
    <row r="8" spans="1:7" x14ac:dyDescent="0.25">
      <c r="A8" s="5">
        <v>4</v>
      </c>
      <c r="B8" s="6" t="s">
        <v>21</v>
      </c>
      <c r="C8" s="6">
        <v>0</v>
      </c>
      <c r="D8" s="6">
        <v>661.39</v>
      </c>
      <c r="E8" s="6">
        <v>0</v>
      </c>
      <c r="F8" s="6">
        <v>0</v>
      </c>
      <c r="G8" s="27">
        <v>661.39</v>
      </c>
    </row>
    <row r="9" spans="1:7" x14ac:dyDescent="0.25">
      <c r="A9" s="3">
        <v>5</v>
      </c>
      <c r="B9" s="4" t="s">
        <v>24</v>
      </c>
      <c r="C9" s="4">
        <v>0</v>
      </c>
      <c r="D9" s="4">
        <v>661.39</v>
      </c>
      <c r="E9" s="4">
        <v>0</v>
      </c>
      <c r="F9" s="4">
        <v>0</v>
      </c>
      <c r="G9" s="26">
        <v>661.39</v>
      </c>
    </row>
    <row r="10" spans="1:7" x14ac:dyDescent="0.25">
      <c r="A10" s="5">
        <v>6</v>
      </c>
      <c r="B10" s="6" t="s">
        <v>27</v>
      </c>
      <c r="C10" s="6">
        <v>0</v>
      </c>
      <c r="D10" s="6">
        <v>0</v>
      </c>
      <c r="E10" s="6">
        <v>0</v>
      </c>
      <c r="F10" s="6">
        <v>0</v>
      </c>
      <c r="G10" s="27">
        <v>0</v>
      </c>
    </row>
    <row r="11" spans="1:7" x14ac:dyDescent="0.25">
      <c r="A11" s="3">
        <v>7</v>
      </c>
      <c r="B11" s="4" t="s">
        <v>29</v>
      </c>
      <c r="C11" s="4">
        <v>0</v>
      </c>
      <c r="D11" s="4">
        <v>0</v>
      </c>
      <c r="E11" s="4">
        <v>0</v>
      </c>
      <c r="F11" s="4">
        <v>0</v>
      </c>
      <c r="G11" s="26">
        <v>0</v>
      </c>
    </row>
    <row r="12" spans="1:7" x14ac:dyDescent="0.25">
      <c r="A12" s="5">
        <v>8</v>
      </c>
      <c r="B12" s="6" t="s">
        <v>31</v>
      </c>
      <c r="C12" s="6">
        <v>0</v>
      </c>
      <c r="D12" s="6">
        <v>0</v>
      </c>
      <c r="E12" s="6">
        <v>0</v>
      </c>
      <c r="F12" s="6">
        <v>0</v>
      </c>
      <c r="G12" s="27">
        <v>0</v>
      </c>
    </row>
    <row r="13" spans="1:7" x14ac:dyDescent="0.25">
      <c r="A13" s="3">
        <v>9</v>
      </c>
      <c r="B13" s="4" t="s">
        <v>33</v>
      </c>
      <c r="C13" s="4">
        <v>0</v>
      </c>
      <c r="D13" s="4">
        <v>0</v>
      </c>
      <c r="E13" s="4">
        <v>0</v>
      </c>
      <c r="F13" s="4">
        <v>0</v>
      </c>
      <c r="G13" s="26">
        <v>0</v>
      </c>
    </row>
    <row r="14" spans="1:7" x14ac:dyDescent="0.25">
      <c r="A14" s="5">
        <v>10</v>
      </c>
      <c r="B14" s="6" t="s">
        <v>35</v>
      </c>
      <c r="C14" s="6">
        <v>0</v>
      </c>
      <c r="D14" s="6">
        <v>0</v>
      </c>
      <c r="E14" s="6">
        <v>0</v>
      </c>
      <c r="F14" s="6">
        <v>0</v>
      </c>
      <c r="G14" s="27">
        <v>0</v>
      </c>
    </row>
    <row r="15" spans="1:7" x14ac:dyDescent="0.25">
      <c r="A15" s="28">
        <v>11</v>
      </c>
      <c r="B15" s="29" t="s">
        <v>246</v>
      </c>
      <c r="C15" s="30">
        <f>SUM(C4:C14)</f>
      </c>
      <c r="D15" s="30">
        <f>SUM(D4:D14)</f>
      </c>
      <c r="E15" s="30">
        <f>SUM(E4:E14)</f>
      </c>
      <c r="F15" s="30">
        <f>SUM(F4:F14)</f>
      </c>
      <c r="G15" s="31">
        <f>SUM(G4:G14)</f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cols>
    <col min="1" max="1" width="5" customWidth="1"/>
    <col min="2" max="2" width="50" customWidth="1"/>
    <col min="3" max="6" width="14" customWidth="1"/>
    <col min="7" max="7" width="18" customWidth="1"/>
  </cols>
  <sheetData>
    <row r="1" ht="32" customHeight="1" spans="1:12" x14ac:dyDescent="0.2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 x14ac:dyDescent="0.25">
      <c r="A2" s="10" t="s">
        <v>247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4" customHeight="1" spans="1:1" x14ac:dyDescent="0.25">
      <c r="A3" t="s">
        <v>38</v>
      </c>
    </row>
    <row r="4" ht="28" customHeight="1" spans="1:7" x14ac:dyDescent="0.25">
      <c r="A4" s="2" t="s">
        <v>93</v>
      </c>
      <c r="B4" s="2" t="s">
        <v>89</v>
      </c>
      <c r="C4" s="2" t="s">
        <v>248</v>
      </c>
      <c r="D4" s="2" t="s">
        <v>249</v>
      </c>
      <c r="E4" s="2" t="s">
        <v>250</v>
      </c>
      <c r="F4" s="2" t="s">
        <v>94</v>
      </c>
      <c r="G4" s="2" t="s">
        <v>86</v>
      </c>
    </row>
    <row r="5" spans="1:7" x14ac:dyDescent="0.25">
      <c r="A5" s="3">
        <v>1</v>
      </c>
      <c r="B5" s="4" t="s">
        <v>14</v>
      </c>
      <c r="C5" s="4">
        <v>326</v>
      </c>
      <c r="D5" s="4">
        <v>325</v>
      </c>
      <c r="E5" s="15">
        <v>1</v>
      </c>
      <c r="F5" s="22">
        <v>661.39</v>
      </c>
      <c r="G5" s="32">
        <v>2810.9075</v>
      </c>
    </row>
    <row r="6" spans="1:7" x14ac:dyDescent="0.25">
      <c r="A6" s="5">
        <v>2</v>
      </c>
      <c r="B6" s="6" t="s">
        <v>17</v>
      </c>
      <c r="C6" s="6">
        <v>200</v>
      </c>
      <c r="D6" s="6">
        <v>152</v>
      </c>
      <c r="E6" s="33">
        <v>48</v>
      </c>
      <c r="F6" s="24">
        <v>661.39</v>
      </c>
      <c r="G6" s="34">
        <v>3075.4635000000003</v>
      </c>
    </row>
    <row r="7" spans="1:7" x14ac:dyDescent="0.25">
      <c r="A7" s="3">
        <v>3</v>
      </c>
      <c r="B7" s="4" t="s">
        <v>19</v>
      </c>
      <c r="C7" s="4">
        <v>114</v>
      </c>
      <c r="D7" s="4">
        <v>105</v>
      </c>
      <c r="E7" s="15">
        <v>9</v>
      </c>
      <c r="F7" s="22">
        <v>661.39</v>
      </c>
      <c r="G7" s="32">
        <v>1322.78</v>
      </c>
    </row>
    <row r="8" spans="1:7" x14ac:dyDescent="0.25">
      <c r="A8" s="5">
        <v>4</v>
      </c>
      <c r="B8" s="6" t="s">
        <v>21</v>
      </c>
      <c r="C8" s="6">
        <v>45</v>
      </c>
      <c r="D8" s="6">
        <v>32</v>
      </c>
      <c r="E8" s="33">
        <v>13</v>
      </c>
      <c r="F8" s="24">
        <v>661.39</v>
      </c>
      <c r="G8" s="34">
        <v>4464.3825</v>
      </c>
    </row>
    <row r="9" spans="1:7" x14ac:dyDescent="0.25">
      <c r="A9" s="3">
        <v>5</v>
      </c>
      <c r="B9" s="4" t="s">
        <v>24</v>
      </c>
      <c r="C9" s="4">
        <v>43</v>
      </c>
      <c r="D9" s="4">
        <v>20</v>
      </c>
      <c r="E9" s="15">
        <v>23</v>
      </c>
      <c r="F9" s="22">
        <v>661.39</v>
      </c>
      <c r="G9" s="32">
        <v>2050.309</v>
      </c>
    </row>
    <row r="10" spans="1:7" x14ac:dyDescent="0.25">
      <c r="A10" s="5">
        <v>6</v>
      </c>
      <c r="B10" s="6" t="s">
        <v>27</v>
      </c>
      <c r="C10" s="6">
        <v>45</v>
      </c>
      <c r="D10" s="6">
        <v>34</v>
      </c>
      <c r="E10" s="33">
        <v>11</v>
      </c>
      <c r="F10" s="24">
        <v>0</v>
      </c>
      <c r="G10" s="34">
        <v>0</v>
      </c>
    </row>
    <row r="11" spans="1:7" x14ac:dyDescent="0.25">
      <c r="A11" s="3">
        <v>7</v>
      </c>
      <c r="B11" s="4" t="s">
        <v>29</v>
      </c>
      <c r="C11" s="4">
        <v>105</v>
      </c>
      <c r="D11" s="4">
        <v>103</v>
      </c>
      <c r="E11" s="15">
        <v>2</v>
      </c>
      <c r="F11" s="22">
        <v>0</v>
      </c>
      <c r="G11" s="32">
        <v>0</v>
      </c>
    </row>
    <row r="12" spans="1:7" x14ac:dyDescent="0.25">
      <c r="A12" s="5">
        <v>8</v>
      </c>
      <c r="B12" s="6" t="s">
        <v>31</v>
      </c>
      <c r="C12" s="6">
        <v>55</v>
      </c>
      <c r="D12" s="6">
        <v>55</v>
      </c>
      <c r="E12" s="35">
        <v>0</v>
      </c>
      <c r="F12" s="24">
        <v>0</v>
      </c>
      <c r="G12" s="34">
        <v>0</v>
      </c>
    </row>
    <row r="13" spans="1:7" x14ac:dyDescent="0.25">
      <c r="A13" s="3">
        <v>9</v>
      </c>
      <c r="B13" s="4" t="s">
        <v>33</v>
      </c>
      <c r="C13" s="4">
        <v>46</v>
      </c>
      <c r="D13" s="4">
        <v>46</v>
      </c>
      <c r="E13" s="35">
        <v>0</v>
      </c>
      <c r="F13" s="22">
        <v>0</v>
      </c>
      <c r="G13" s="32">
        <v>0</v>
      </c>
    </row>
    <row r="14" spans="1:7" x14ac:dyDescent="0.25">
      <c r="A14" s="5">
        <v>10</v>
      </c>
      <c r="B14" s="6" t="s">
        <v>35</v>
      </c>
      <c r="C14" s="6">
        <v>53</v>
      </c>
      <c r="D14" s="6">
        <v>21</v>
      </c>
      <c r="E14" s="33">
        <v>32</v>
      </c>
      <c r="F14" s="24">
        <v>0</v>
      </c>
      <c r="G14" s="34">
        <v>0</v>
      </c>
    </row>
    <row r="15" spans="1:7" x14ac:dyDescent="0.25">
      <c r="A15" s="28">
        <v>11</v>
      </c>
      <c r="B15" s="29" t="s">
        <v>246</v>
      </c>
      <c r="C15" s="36">
        <f>SUM(C4:C14)</f>
      </c>
      <c r="D15" s="36">
        <f>SUM(D4:D14)</f>
      </c>
      <c r="E15" s="36">
        <f>SUM(E4:E14)</f>
      </c>
      <c r="F15" s="36">
        <f>SUM(F4:F14)</f>
      </c>
      <c r="G15" s="37">
        <f>SUM(G4:G14)</f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BD</vt:lpstr>
      <vt:lpstr>Dashboard</vt:lpstr>
      <vt:lpstr>Catálogo</vt:lpstr>
      <vt:lpstr>Inventario</vt:lpstr>
      <vt:lpstr>Recepción Ransa</vt:lpstr>
      <vt:lpstr>Producción</vt:lpstr>
      <vt:lpstr>Despachos</vt:lpstr>
      <vt:lpstr>Movimientos</vt:lpstr>
      <vt:lpstr>Ventas</vt:lpstr>
      <vt:lpstr>Órdenes</vt:lpstr>
      <vt:lpstr>Food Costing</vt:lpstr>
      <vt:lpstr>Ajustes Stock</vt:lpstr>
      <vt:lpstr>Resumen Bodegas</vt:lpstr>
      <vt:lpstr>Resumen Cajas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Ventas e Inventario</dc:creator>
  <dc:title/>
  <dc:subject/>
  <dc:description/>
  <cp:keywords/>
  <cp:category/>
  <cp:lastModifiedBy>Unknown</cp:lastModifiedBy>
  <dcterms:created xsi:type="dcterms:W3CDTF">2026-05-28T16:19:16Z</dcterms:created>
  <dcterms:modified xsi:type="dcterms:W3CDTF">2026-05-28T16:19:16Z</dcterms:modified>
</cp:coreProperties>
</file>